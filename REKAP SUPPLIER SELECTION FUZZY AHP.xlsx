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elmi\Downloads\"/>
    </mc:Choice>
  </mc:AlternateContent>
  <xr:revisionPtr revIDLastSave="0" documentId="13_ncr:1_{2C3D0CE2-24D5-49EA-BE37-5BA5DAF02D48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PROFIL NARSUM" sheetId="20" r:id="rId1"/>
    <sheet name="ALTERNATIF USULAN" sheetId="21" r:id="rId2"/>
    <sheet name="EXPERT JUDGMENT" sheetId="33" r:id="rId3"/>
    <sheet name="KRIT &amp; SUB-KRIT" sheetId="26" r:id="rId4"/>
    <sheet name="ATURAN !" sheetId="29" r:id="rId5"/>
    <sheet name="REKAP PEMBOBOTAN" sheetId="30" r:id="rId6"/>
    <sheet name="REKAP PENILAIAN PEMASOK" sheetId="23" r:id="rId7"/>
    <sheet name="FUZZY AHP" sheetId="22" r:id="rId8"/>
  </sheets>
  <externalReferences>
    <externalReference r:id="rId9"/>
  </externalReferences>
  <calcPr calcId="191029"/>
</workbook>
</file>

<file path=xl/calcChain.xml><?xml version="1.0" encoding="utf-8"?>
<calcChain xmlns="http://schemas.openxmlformats.org/spreadsheetml/2006/main">
  <c r="V2" i="30" l="1"/>
  <c r="BH57" i="30"/>
  <c r="AP57" i="30"/>
  <c r="BH56" i="30"/>
  <c r="AP56" i="30"/>
  <c r="BH55" i="30"/>
  <c r="AP55" i="30"/>
  <c r="BH54" i="30"/>
  <c r="AP54" i="30"/>
  <c r="BH53" i="30"/>
  <c r="AP53" i="30"/>
  <c r="BH52" i="30"/>
  <c r="AP52" i="30"/>
  <c r="BH51" i="30"/>
  <c r="AP51" i="30"/>
  <c r="BH50" i="30"/>
  <c r="AP50" i="30"/>
  <c r="BH49" i="30"/>
  <c r="AP49" i="30"/>
  <c r="BH48" i="30"/>
  <c r="AP48" i="30"/>
  <c r="BH47" i="30"/>
  <c r="AP47" i="30"/>
  <c r="BH46" i="30"/>
  <c r="AP46" i="30"/>
  <c r="BH45" i="30"/>
  <c r="AP45" i="30"/>
  <c r="BH44" i="30"/>
  <c r="AP44" i="30"/>
  <c r="BH43" i="30"/>
  <c r="AP43" i="30"/>
  <c r="BH42" i="30"/>
  <c r="AP42" i="30"/>
  <c r="BH41" i="30"/>
  <c r="AP41" i="30"/>
  <c r="BH40" i="30"/>
  <c r="AP40" i="30"/>
  <c r="BH39" i="30"/>
  <c r="AP39" i="30"/>
  <c r="BH38" i="30"/>
  <c r="AP38" i="30"/>
  <c r="BH37" i="30"/>
  <c r="AP37" i="30"/>
  <c r="BH36" i="30"/>
  <c r="AP36" i="30"/>
  <c r="BH35" i="30"/>
  <c r="AP35" i="30"/>
  <c r="BH34" i="30"/>
  <c r="AP34" i="30"/>
  <c r="BH33" i="30"/>
  <c r="AP33" i="30"/>
  <c r="BH32" i="30"/>
  <c r="AP32" i="30"/>
  <c r="BH31" i="30"/>
  <c r="AP31" i="30"/>
  <c r="BH30" i="30"/>
  <c r="AP30" i="30"/>
  <c r="BH29" i="30"/>
  <c r="AP29" i="30"/>
  <c r="BH28" i="30"/>
  <c r="AP28" i="30"/>
  <c r="BH27" i="30"/>
  <c r="AP27" i="30"/>
  <c r="BH26" i="30"/>
  <c r="AP26" i="30"/>
  <c r="BH25" i="30"/>
  <c r="AP25" i="30"/>
  <c r="BH24" i="30"/>
  <c r="AP24" i="30"/>
  <c r="BH23" i="30"/>
  <c r="AP23" i="30"/>
  <c r="BH22" i="30"/>
  <c r="AP22" i="30"/>
  <c r="BH21" i="30"/>
  <c r="AP21" i="30"/>
  <c r="BH20" i="30"/>
  <c r="AP20" i="30"/>
  <c r="BH19" i="30"/>
  <c r="AP19" i="30"/>
  <c r="BH18" i="30"/>
  <c r="AP18" i="30"/>
  <c r="BH17" i="30"/>
  <c r="AP17" i="30"/>
  <c r="BH16" i="30"/>
  <c r="AP16" i="30"/>
  <c r="BH15" i="30"/>
  <c r="AP15" i="30"/>
  <c r="BH14" i="30"/>
  <c r="AP14" i="30"/>
  <c r="BH13" i="30"/>
  <c r="AP13" i="30"/>
  <c r="BH12" i="30"/>
  <c r="AP12" i="30"/>
  <c r="BH11" i="30"/>
  <c r="AP11" i="30"/>
  <c r="BH10" i="30"/>
  <c r="AP10" i="30"/>
  <c r="BH9" i="30"/>
  <c r="AP9" i="30"/>
  <c r="BH8" i="30"/>
  <c r="AP8" i="30"/>
  <c r="BH7" i="30"/>
  <c r="AP7" i="30"/>
  <c r="BH6" i="30"/>
  <c r="AP6" i="30"/>
  <c r="BH5" i="30"/>
  <c r="AP5" i="30"/>
  <c r="BJ2" i="30"/>
  <c r="AP2" i="30"/>
  <c r="Q29" i="23"/>
  <c r="R29" i="23"/>
  <c r="S29" i="23"/>
  <c r="T29" i="23"/>
  <c r="U29" i="23"/>
  <c r="V29" i="23"/>
  <c r="W29" i="23"/>
  <c r="X29" i="23"/>
  <c r="Y29" i="23"/>
  <c r="Z29" i="23"/>
  <c r="Q30" i="23"/>
  <c r="R30" i="23"/>
  <c r="S30" i="23"/>
  <c r="T30" i="23"/>
  <c r="U30" i="23"/>
  <c r="V30" i="23"/>
  <c r="W30" i="23"/>
  <c r="X30" i="23"/>
  <c r="Y30" i="23"/>
  <c r="Z30" i="23"/>
  <c r="AM30" i="23"/>
  <c r="AL30" i="23"/>
  <c r="AK30" i="23"/>
  <c r="AJ30" i="23"/>
  <c r="AI30" i="23"/>
  <c r="AH30" i="23"/>
  <c r="AG30" i="23"/>
  <c r="AF30" i="23"/>
  <c r="AE30" i="23"/>
  <c r="AD30" i="23"/>
  <c r="AM29" i="23"/>
  <c r="AL29" i="23"/>
  <c r="AK29" i="23"/>
  <c r="AJ29" i="23"/>
  <c r="AI29" i="23"/>
  <c r="AH29" i="23"/>
  <c r="AG29" i="23"/>
  <c r="AF29" i="23"/>
  <c r="AE29" i="23"/>
  <c r="AD29" i="23"/>
  <c r="E30" i="23"/>
  <c r="F30" i="23"/>
  <c r="G30" i="23"/>
  <c r="H30" i="23"/>
  <c r="I30" i="23"/>
  <c r="J30" i="23"/>
  <c r="K30" i="23"/>
  <c r="L30" i="23"/>
  <c r="M30" i="23"/>
  <c r="D30" i="23"/>
  <c r="M29" i="23"/>
  <c r="L29" i="23"/>
  <c r="K29" i="23"/>
  <c r="J29" i="23"/>
  <c r="I29" i="23"/>
  <c r="H29" i="23"/>
  <c r="G29" i="23"/>
  <c r="F29" i="23"/>
  <c r="E29" i="23"/>
  <c r="D29" i="23"/>
  <c r="M27" i="22"/>
  <c r="M26" i="22"/>
</calcChain>
</file>

<file path=xl/sharedStrings.xml><?xml version="1.0" encoding="utf-8"?>
<sst xmlns="http://schemas.openxmlformats.org/spreadsheetml/2006/main" count="789" uniqueCount="146">
  <si>
    <t>NO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</si>
  <si>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</si>
  <si>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</si>
  <si>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</si>
  <si>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</si>
  <si>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</si>
  <si>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</si>
  <si>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</si>
  <si>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</si>
  <si>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</si>
  <si>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</si>
  <si>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Keterangan</t>
  </si>
  <si>
    <t>TOTAL</t>
  </si>
  <si>
    <t>RATA-RATA</t>
  </si>
  <si>
    <t>KRITERIA</t>
  </si>
  <si>
    <t>SUB-KRITERIA</t>
  </si>
  <si>
    <t>Manajer Operasional</t>
  </si>
  <si>
    <t>Kepala Produksi</t>
  </si>
  <si>
    <t>PROFIL NARASUMBER</t>
  </si>
  <si>
    <t>POSITION</t>
  </si>
  <si>
    <t>DESKRIPSI PEKERJAAN</t>
  </si>
  <si>
    <t>PENGALAMAN KERJA/BISNIS 
(DALAM TAHUN)</t>
  </si>
  <si>
    <t>1. Menyetujui usulan rencana pengadaan
2. Menyetujui pemasok terpilih</t>
  </si>
  <si>
    <t>1. Menentukan harga bahan baku
2. Menentukan jumlah bahan baku yang dibeli
3. Menentukan apakah kualitas barang yang diterima memenuhi spesifikasi</t>
  </si>
  <si>
    <r>
      <rPr>
        <b/>
        <sz val="11"/>
        <color theme="1"/>
        <rFont val="Century Gothic"/>
        <family val="2"/>
      </rPr>
      <t>Pelayanan</t>
    </r>
    <r>
      <rPr>
        <sz val="11"/>
        <color theme="1"/>
        <rFont val="Century Gothic"/>
        <family val="2"/>
      </rPr>
      <t xml:space="preserve">
Wilson, 1994; Bhutta and Huq, 2002; Mirabi et al.,
2010; Mendoza, 2007; Li et al., 2013 </t>
    </r>
  </si>
  <si>
    <r>
      <rPr>
        <b/>
        <sz val="11"/>
        <color theme="1"/>
        <rFont val="Century Gothic"/>
        <family val="2"/>
      </rPr>
      <t>Waktu pengantaran</t>
    </r>
    <r>
      <rPr>
        <sz val="11"/>
        <color theme="1"/>
        <rFont val="Century Gothic"/>
        <family val="2"/>
      </rPr>
      <t xml:space="preserve">
Gnanasekaran et al., 2006; Asamoah et al., 2012; Gonzales et al., 2004; Weber and
Elram, 1993; Mirabi et al., 2010</t>
    </r>
  </si>
  <si>
    <r>
      <rPr>
        <b/>
        <sz val="11"/>
        <color theme="1"/>
        <rFont val="Century Gothic"/>
        <family val="2"/>
      </rPr>
      <t>Harga</t>
    </r>
    <r>
      <rPr>
        <sz val="11"/>
        <color theme="1"/>
        <rFont val="Century Gothic"/>
        <family val="2"/>
      </rPr>
      <t xml:space="preserve">
Kumar Kar and Pani, 2014; Jayaraman et al., 1999; Kannan et al., 2013; Asamoah et al., 2012; Weber and Elram, 1993; Thakkar et al., 2012; Li et al., 2013; Nazari-Shirkouhi et al., 2013</t>
    </r>
  </si>
  <si>
    <t>Pelayanan</t>
  </si>
  <si>
    <t>Kualitas</t>
  </si>
  <si>
    <t>Pengantaran</t>
  </si>
  <si>
    <t>Harga</t>
  </si>
  <si>
    <t>Kapasitas</t>
  </si>
  <si>
    <t>Kriteria</t>
  </si>
  <si>
    <t>Bobot</t>
  </si>
  <si>
    <t>Perbandingan Kriteria</t>
  </si>
  <si>
    <t>Responden 1 (Produksi)</t>
  </si>
  <si>
    <r>
      <t>Responden 2 (</t>
    </r>
    <r>
      <rPr>
        <b/>
        <i/>
        <sz val="12"/>
        <color theme="1"/>
        <rFont val="Times New Roman"/>
        <family val="1"/>
      </rPr>
      <t xml:space="preserve">Owner </t>
    </r>
    <r>
      <rPr>
        <b/>
        <sz val="12"/>
        <color theme="1"/>
        <rFont val="Times New Roman"/>
        <family val="1"/>
      </rPr>
      <t>)</t>
    </r>
  </si>
  <si>
    <r>
      <t>Responden 3 (</t>
    </r>
    <r>
      <rPr>
        <b/>
        <i/>
        <sz val="12"/>
        <color theme="1"/>
        <rFont val="Times New Roman"/>
        <family val="1"/>
      </rPr>
      <t xml:space="preserve">Purchasing </t>
    </r>
    <r>
      <rPr>
        <b/>
        <sz val="12"/>
        <color theme="1"/>
        <rFont val="Times New Roman"/>
        <family val="1"/>
      </rPr>
      <t>)</t>
    </r>
  </si>
  <si>
    <t>Geometric Mean</t>
  </si>
  <si>
    <t>Kriteria 1 vs Kriteria 2</t>
  </si>
  <si>
    <t>Kriteria 1 vs Kriteria 3</t>
  </si>
  <si>
    <t>Kriteria 1 vs Kriteria 4</t>
  </si>
  <si>
    <t>Kriteria 1 vs Kriteria 5</t>
  </si>
  <si>
    <t>Kriteria 2 vs Kriteria 3</t>
  </si>
  <si>
    <t>Kriteria 2 vs Kriteria 4</t>
  </si>
  <si>
    <t>Kriteria 2 vs Kriteria 5</t>
  </si>
  <si>
    <t>Kriteria 3 vs Kriteria 4</t>
  </si>
  <si>
    <t>Kriteria 3 vs Kriteria 5</t>
  </si>
  <si>
    <t>Kriteria 4 vs Kriteria 5</t>
  </si>
  <si>
    <t>Kriteria 1</t>
  </si>
  <si>
    <t>Kriteria 2</t>
  </si>
  <si>
    <t>Kriteria 3</t>
  </si>
  <si>
    <t>Kriteria 4</t>
  </si>
  <si>
    <t>Kriteria 5</t>
  </si>
  <si>
    <t>Jumlah Kolom</t>
  </si>
  <si>
    <t>PERHITUNGAN GEOMETRIC MEAN BERDASARKAN PERBANDINGAN BOBOT KRITERIA</t>
  </si>
  <si>
    <t>Jumlah Baris</t>
  </si>
  <si>
    <t>0,0995</t>
  </si>
  <si>
    <r>
      <t>Bobot 
(</t>
    </r>
    <r>
      <rPr>
        <b/>
        <i/>
        <sz val="12"/>
        <color theme="1"/>
        <rFont val="Times New Roman"/>
        <family val="1"/>
      </rPr>
      <t>Eigen Vector)</t>
    </r>
  </si>
  <si>
    <t>Rekap Bobot Tiap Kriteria</t>
  </si>
  <si>
    <r>
      <t xml:space="preserve">Bobot </t>
    </r>
    <r>
      <rPr>
        <i/>
        <sz val="11"/>
        <color theme="6" tint="-0.499984740745262"/>
        <rFont val="Calibri"/>
        <family val="2"/>
        <scheme val="minor"/>
      </rPr>
      <t>Eigen Venctor</t>
    </r>
  </si>
  <si>
    <r>
      <rPr>
        <b/>
        <sz val="11"/>
        <color theme="1"/>
        <rFont val="Century Gothic"/>
        <family val="2"/>
      </rPr>
      <t xml:space="preserve">Reputasi dan posisi vendor di pasar
</t>
    </r>
    <r>
      <rPr>
        <sz val="11"/>
        <color theme="1"/>
        <rFont val="Century Gothic"/>
        <family val="2"/>
      </rPr>
      <t xml:space="preserve">Wilson, 1994; Çebi and Bayraktar, 2003; Asamoah et al., 2012; Li et al., 2013
</t>
    </r>
    <r>
      <rPr>
        <b/>
        <sz val="11"/>
        <color theme="1"/>
        <rFont val="Century Gothic"/>
        <family val="2"/>
      </rPr>
      <t>Manajemen dan kompatibilitas</t>
    </r>
    <r>
      <rPr>
        <sz val="11"/>
        <color theme="1"/>
        <rFont val="Century Gothic"/>
        <family val="2"/>
      </rPr>
      <t xml:space="preserve">
Çebi and Bayraktar, 2003; Vonderembse and Tracey, 1999; Asamoah et al., 2012
</t>
    </r>
    <r>
      <rPr>
        <b/>
        <sz val="11"/>
        <color theme="1"/>
        <rFont val="Century Gothic"/>
        <family val="2"/>
      </rPr>
      <t xml:space="preserve">Hubungan dengan vendor (Çebi dan Bayraktar, 2003) seperti:
Komunikasi
</t>
    </r>
    <r>
      <rPr>
        <sz val="11"/>
        <color theme="1"/>
        <rFont val="Century Gothic"/>
        <family val="2"/>
      </rPr>
      <t xml:space="preserve">Çebi and Bayraktar, 2003; Asamoah et al., 2012
</t>
    </r>
    <r>
      <rPr>
        <b/>
        <sz val="11"/>
        <color theme="1"/>
        <rFont val="Century Gothic"/>
        <family val="2"/>
      </rPr>
      <t>Pengalaman masa lalu</t>
    </r>
    <r>
      <rPr>
        <sz val="11"/>
        <color theme="1"/>
        <rFont val="Century Gothic"/>
        <family val="2"/>
      </rPr>
      <t xml:space="preserve">
Çebi and Bayraktar, 2003; Li et al., 2013
</t>
    </r>
    <r>
      <rPr>
        <b/>
        <sz val="11"/>
        <color theme="1"/>
        <rFont val="Century Gothic"/>
        <family val="2"/>
      </rPr>
      <t xml:space="preserve">Kompetensi perwakilan penjualan
</t>
    </r>
    <r>
      <rPr>
        <sz val="11"/>
        <color theme="1"/>
        <rFont val="Century Gothic"/>
        <family val="2"/>
      </rPr>
      <t xml:space="preserve">Kumar Kar and Pani, 2014, Çebi and Bayraktar, 2003; Nayak et al., 2011; Thakkar
et al., 2012; Li et al., 2013
</t>
    </r>
    <r>
      <rPr>
        <b/>
        <sz val="11"/>
        <color theme="1"/>
        <rFont val="Century Gothic"/>
        <family val="2"/>
      </rPr>
      <t>Dedikasi</t>
    </r>
    <r>
      <rPr>
        <sz val="11"/>
        <color theme="1"/>
        <rFont val="Century Gothic"/>
        <family val="2"/>
      </rPr>
      <t xml:space="preserve">
Nayak et al., 2011
</t>
    </r>
    <r>
      <rPr>
        <b/>
        <sz val="11"/>
        <color theme="1"/>
        <rFont val="Century Gothic"/>
        <family val="2"/>
      </rPr>
      <t>Kepercayaan</t>
    </r>
    <r>
      <rPr>
        <sz val="11"/>
        <color theme="1"/>
        <rFont val="Century Gothic"/>
        <family val="2"/>
      </rPr>
      <t xml:space="preserve">
Nayak et al., 2011</t>
    </r>
  </si>
  <si>
    <r>
      <rPr>
        <b/>
        <sz val="11"/>
        <color theme="1"/>
        <rFont val="Century Gothic"/>
        <family val="2"/>
      </rPr>
      <t>Pengantaran</t>
    </r>
    <r>
      <rPr>
        <sz val="11"/>
        <color theme="1"/>
        <rFont val="Century Gothic"/>
        <family val="2"/>
      </rPr>
      <t xml:space="preserve">
Wilson, 1994; Kumar Kar and Pani, 2014; Mendoza, 2007; Mafakheri et al., 2011</t>
    </r>
  </si>
  <si>
    <t>=</t>
  </si>
  <si>
    <t>Uji Konsistensi Kriteria</t>
  </si>
  <si>
    <t>Jumlah Perkalian Matriks</t>
  </si>
  <si>
    <t>Hasil Bagi</t>
  </si>
  <si>
    <t>Jumlah Hasil Bagi</t>
  </si>
  <si>
    <t>λ Maks</t>
  </si>
  <si>
    <t>CI</t>
  </si>
  <si>
    <t>CR</t>
  </si>
  <si>
    <t>No</t>
  </si>
  <si>
    <t>Sub Kriteria</t>
  </si>
  <si>
    <t>Penilaian</t>
  </si>
  <si>
    <t>SUB KRITERIA</t>
  </si>
  <si>
    <t>Fleksibilitas dalam melakukan perubahan pesanan dan pembayaran</t>
  </si>
  <si>
    <t>Kemampuan mengelola risiko terkait dengan produk berkualitas rendah</t>
  </si>
  <si>
    <t>Ketidakterlambatan pengantaran bahan baku</t>
  </si>
  <si>
    <t>Reputasi dan posisi vendor dalam pasar</t>
  </si>
  <si>
    <t>Manajemen dan kompatibilitas</t>
  </si>
  <si>
    <t>Kompetensi perwakilan penjualan</t>
  </si>
  <si>
    <t>Dedikasi dan kepercayaan</t>
  </si>
  <si>
    <t>Pengalaman masa lalu</t>
  </si>
  <si>
    <t xml:space="preserve">Pengantaran </t>
  </si>
  <si>
    <t>Pengiriman barang sesuai dengan jadwal yang  ditetapkan (Waktu Pengantaran)</t>
  </si>
  <si>
    <t xml:space="preserve">  SUB-KRITERIA</t>
  </si>
  <si>
    <t>Kesesuaian kualitas barang dengan harga yang ditawarkan</t>
  </si>
  <si>
    <t>Kemampuan produksi pemasok</t>
  </si>
  <si>
    <t>Kapasitas penyimpanan pemasok</t>
  </si>
  <si>
    <t>Kemampuan penyediaan bahan baku oleh pemasok</t>
  </si>
  <si>
    <t>Waktu tunggu pemasok tiap pemesanan</t>
  </si>
  <si>
    <t>Kemungkinan produk rusak atau cacat</t>
  </si>
  <si>
    <t>KRITERIA DAN SUBKRITERIA PENILAIAN PERFORMA PEMASOK</t>
  </si>
  <si>
    <t>STRUKTUR ORGANISASI</t>
  </si>
  <si>
    <t>Pelayanan yang diberikan dalam pengantaran</t>
  </si>
  <si>
    <t>Hubungan dengan vendor Seperti: Komunikasi</t>
  </si>
  <si>
    <t>PENILAIAN ANTAR  KRITERIA</t>
  </si>
  <si>
    <t>PENILAIAN ANTAR SUB-KRITERIA</t>
  </si>
  <si>
    <t>Nilai</t>
  </si>
  <si>
    <t>Sangat Baik</t>
  </si>
  <si>
    <t>Baik</t>
  </si>
  <si>
    <t>Cukup Baik</t>
  </si>
  <si>
    <t>Buruk</t>
  </si>
  <si>
    <t>Sangat Buruk</t>
  </si>
  <si>
    <t>*Skala Likert</t>
  </si>
  <si>
    <t>P</t>
  </si>
  <si>
    <t>Perencana Pengadaan</t>
  </si>
  <si>
    <t>Hubungan dengan vendor seperti: Komunikasi</t>
  </si>
  <si>
    <t xml:space="preserve">Kemampuan mengelola risiko terkait dengan produk berkualitas rendah </t>
  </si>
  <si>
    <t xml:space="preserve">Pengiriman barang sesuai dengan jadwal yang  ditetapkan </t>
  </si>
  <si>
    <t>Sub-Kriteria</t>
  </si>
  <si>
    <t>EXPERT 2 - Soeharjo Pramudya (KEPALA PRODUKSI)</t>
  </si>
  <si>
    <t>EXPERT 1 - Agus Pramono (MANAGER OPERASIONAL)</t>
  </si>
  <si>
    <t>EXPERT 3 - Syarif Handoko (PERENCANA PENGADAAN)</t>
  </si>
  <si>
    <t>Dedikasi dan Kepercayaan</t>
  </si>
  <si>
    <t>SUB-KRITERIA YANG TERELIMINASI</t>
  </si>
  <si>
    <t xml:space="preserve">SUB-KRITERIA </t>
  </si>
  <si>
    <t>Tingkat Kepentingan</t>
  </si>
  <si>
    <t>Definisi</t>
  </si>
  <si>
    <r>
      <t xml:space="preserve">Kedua kriteria </t>
    </r>
    <r>
      <rPr>
        <b/>
        <i/>
        <sz val="12"/>
        <color theme="1"/>
        <rFont val="Times New Roman"/>
        <family val="1"/>
      </rPr>
      <t>sama penting</t>
    </r>
  </si>
  <si>
    <t>Kedua kriteria memiliki kontribusi yang sama besar</t>
  </si>
  <si>
    <r>
      <t xml:space="preserve">Kriteria yang satu </t>
    </r>
    <r>
      <rPr>
        <b/>
        <sz val="12"/>
        <color theme="1"/>
        <rFont val="Times New Roman"/>
        <family val="1"/>
      </rPr>
      <t xml:space="preserve">sedikit lebih penting </t>
    </r>
    <r>
      <rPr>
        <sz val="12"/>
        <color theme="1"/>
        <rFont val="Times New Roman"/>
        <family val="1"/>
      </rPr>
      <t>dari kriteria yang lainnya</t>
    </r>
  </si>
  <si>
    <t>Kriteria yang satu memiliki kontribusi sedikit lebih penting daripada kriteria yang kedua</t>
  </si>
  <si>
    <r>
      <t xml:space="preserve">Kriteria yang satu </t>
    </r>
    <r>
      <rPr>
        <b/>
        <sz val="12"/>
        <color theme="1"/>
        <rFont val="Times New Roman"/>
        <family val="1"/>
      </rPr>
      <t>lebih</t>
    </r>
  </si>
  <si>
    <r>
      <t xml:space="preserve">penting </t>
    </r>
    <r>
      <rPr>
        <sz val="12"/>
        <color theme="1"/>
        <rFont val="Times New Roman"/>
        <family val="1"/>
      </rPr>
      <t>dari kriteria yang lainnya</t>
    </r>
  </si>
  <si>
    <r>
      <t xml:space="preserve">Kriteria yang </t>
    </r>
    <r>
      <rPr>
        <b/>
        <sz val="12"/>
        <color theme="1"/>
        <rFont val="Times New Roman"/>
        <family val="1"/>
      </rPr>
      <t xml:space="preserve">satu jelas lebih penting </t>
    </r>
    <r>
      <rPr>
        <sz val="12"/>
        <color theme="1"/>
        <rFont val="Times New Roman"/>
        <family val="1"/>
      </rPr>
      <t>dari kriteria yang lainnya</t>
    </r>
  </si>
  <si>
    <t>Kriteria yang satu memiliki kontribusi sangat kuat lebih penting daripada kriteria yang kedua</t>
  </si>
  <si>
    <r>
      <t xml:space="preserve">Sau kriteria </t>
    </r>
    <r>
      <rPr>
        <b/>
        <sz val="12"/>
        <color theme="1"/>
        <rFont val="Times New Roman"/>
        <family val="1"/>
      </rPr>
      <t xml:space="preserve">mutlak lebih penting </t>
    </r>
    <r>
      <rPr>
        <sz val="12"/>
        <color theme="1"/>
        <rFont val="Times New Roman"/>
        <family val="1"/>
      </rPr>
      <t>daripada kriteria yang lainnya</t>
    </r>
  </si>
  <si>
    <t>2, 4, 6, 8</t>
  </si>
  <si>
    <t>Kriteria yang satu memiliki kontribusi sangat lebih penting daripada kriteria yang kedua</t>
  </si>
  <si>
    <t>Kriteria yang satu memiliki kontribusi sangat mutlak lebih penting daripada kriteria yang kedua</t>
  </si>
  <si>
    <t>Nilai-nilai diantara dua pertimbangan yang berdekatan</t>
  </si>
  <si>
    <t>Diberikan jika terdapat keraguan diantara kedua kriteria yang terdekat</t>
  </si>
  <si>
    <t>Contoh pengisian kuisioner:</t>
  </si>
  <si>
    <t>Sistem Pembayaran</t>
  </si>
  <si>
    <r>
      <t>1.</t>
    </r>
    <r>
      <rPr>
        <sz val="7"/>
        <color theme="1"/>
        <rFont val="Times New Roman"/>
        <family val="1"/>
      </rPr>
      <t> </t>
    </r>
    <r>
      <rPr>
        <sz val="12"/>
        <color theme="1"/>
        <rFont val="Times New Roman"/>
        <family val="1"/>
      </rPr>
      <t>Jika sistem pembayaran sama pentingnya dengan pelayanan, maka pilih angka 1</t>
    </r>
  </si>
  <si>
    <t>2. Jika sistem pembayaran lebih penting dari pelayanan, maka pilih angka 5 dibagian kiri yang dimiliki oleh kriteria sistem pembayaran</t>
  </si>
  <si>
    <t>3. Jika sistem pembayaran dnilai lebih penting (5) dan sedikit lebih penting (3) maka pilih angka 4 di bagian kiri yang dimiliki oleh kriteria sistem pembayaran</t>
  </si>
  <si>
    <t>TABEL ATURAN PEMBOBOTAN (SAATY;2006)</t>
  </si>
  <si>
    <t>v</t>
  </si>
  <si>
    <r>
      <rPr>
        <b/>
        <sz val="11"/>
        <color theme="1"/>
        <rFont val="Century Gothic"/>
        <family val="2"/>
      </rPr>
      <t>Kualitas</t>
    </r>
    <r>
      <rPr>
        <sz val="11"/>
        <color theme="1"/>
        <rFont val="Century Gothic"/>
        <family val="2"/>
      </rPr>
      <t xml:space="preserve">
 Hsu et al., 2014; Mirabi
et al., 2010; Thakkar et al., 2012; Mendoza, 2007; Mafakheri et al., 2011; Choi and Chang, 2006; NazariShirkouhi et al., 2013; Kannan et al., 2013; Li et al., 2013</t>
    </r>
  </si>
  <si>
    <r>
      <rPr>
        <b/>
        <sz val="11"/>
        <color theme="1"/>
        <rFont val="Century Gothic"/>
        <family val="2"/>
      </rPr>
      <t>Kapasitas</t>
    </r>
    <r>
      <rPr>
        <sz val="11"/>
        <color theme="1"/>
        <rFont val="Century Gothic"/>
        <family val="2"/>
      </rPr>
      <t xml:space="preserve">
Jayaraman et al., 1999; Gnanasekaran et al., 2006 Paksoy et al., 2013; Asamoah et al., 2012;1; Li et al., 2013; Kannan et al., 2013</t>
    </r>
  </si>
  <si>
    <r>
      <rPr>
        <b/>
        <sz val="11"/>
        <color theme="1"/>
        <rFont val="Century Gothic"/>
        <family val="2"/>
      </rPr>
      <t>Fleksibilitas</t>
    </r>
    <r>
      <rPr>
        <sz val="11"/>
        <color theme="1"/>
        <rFont val="Century Gothic"/>
        <family val="2"/>
      </rPr>
      <t xml:space="preserve">
Wilson, 1994; Çebi and Bayraktar, 2003; Nayak et al., 2011; Mirabi et al., 2010,
Thakkar et al., 2012
</t>
    </r>
    <r>
      <rPr>
        <b/>
        <sz val="11"/>
        <color theme="1"/>
        <rFont val="Century Gothic"/>
        <family val="2"/>
      </rPr>
      <t xml:space="preserve">Kemampuan mengelola risiko terkait dengan:
Produk berkualitas rendah
</t>
    </r>
    <r>
      <rPr>
        <sz val="11"/>
        <color theme="1"/>
        <rFont val="Century Gothic"/>
        <family val="2"/>
      </rPr>
      <t xml:space="preserve">Azizi and Modarres, 2010
</t>
    </r>
    <r>
      <rPr>
        <b/>
        <sz val="11"/>
        <color theme="1"/>
        <rFont val="Century Gothic"/>
        <family val="2"/>
      </rPr>
      <t xml:space="preserve">Keterlambatan pengantaran bahan baku
</t>
    </r>
    <r>
      <rPr>
        <sz val="11"/>
        <color theme="1"/>
        <rFont val="Century Gothic"/>
        <family val="2"/>
      </rPr>
      <t xml:space="preserve">Azizi and Modarres, 2010
</t>
    </r>
    <r>
      <rPr>
        <b/>
        <sz val="11"/>
        <color theme="1"/>
        <rFont val="Century Gothic"/>
        <family val="2"/>
      </rPr>
      <t xml:space="preserve">Pengantaran
</t>
    </r>
    <r>
      <rPr>
        <sz val="11"/>
        <color theme="1"/>
        <rFont val="Century Gothic"/>
        <family val="2"/>
      </rPr>
      <t xml:space="preserve">Wilson, 1994; Kumar Kar and Pani, 2014; Çebi and Bayraktar, 2003; Paksoy et al.,
2013; </t>
    </r>
  </si>
  <si>
    <r>
      <rPr>
        <b/>
        <sz val="11"/>
        <color theme="1"/>
        <rFont val="Century Gothic"/>
        <family val="2"/>
      </rPr>
      <t>Kemampuan produksi</t>
    </r>
    <r>
      <rPr>
        <sz val="11"/>
        <color theme="1"/>
        <rFont val="Century Gothic"/>
        <family val="2"/>
      </rPr>
      <t xml:space="preserve">
Kumar Kar and Pani, 2014; Bhutta and Huq, 2002; Mirabi et al., 2010
</t>
    </r>
    <r>
      <rPr>
        <b/>
        <sz val="11"/>
        <color theme="1"/>
        <rFont val="Century Gothic"/>
        <family val="2"/>
      </rPr>
      <t xml:space="preserve">Kapasitas penyimpanan
</t>
    </r>
    <r>
      <rPr>
        <sz val="11"/>
        <color theme="1"/>
        <rFont val="Century Gothic"/>
        <family val="2"/>
      </rPr>
      <t xml:space="preserve">Jayaraman et al., 1999; Songhori, 2011
</t>
    </r>
    <r>
      <rPr>
        <b/>
        <sz val="11"/>
        <color theme="1"/>
        <rFont val="Century Gothic"/>
        <family val="2"/>
      </rPr>
      <t>Ketersediaan produk</t>
    </r>
    <r>
      <rPr>
        <sz val="11"/>
        <color theme="1"/>
        <rFont val="Century Gothic"/>
        <family val="2"/>
      </rPr>
      <t xml:space="preserve">
Çebi and Bayraktar, 2003; Gnanasekaran et al., 2006; Vonderembse and Tracey, 1999; Gonzales et al., 2004; Mirabi et al., 2010; Thakkar et al., 2012; </t>
    </r>
    <r>
      <rPr>
        <b/>
        <sz val="11"/>
        <color theme="1"/>
        <rFont val="Century Gothic"/>
        <family val="2"/>
      </rPr>
      <t>Waktu tunggu pemasok</t>
    </r>
    <r>
      <rPr>
        <sz val="11"/>
        <color theme="1"/>
        <rFont val="Century Gothic"/>
        <family val="2"/>
      </rPr>
      <t xml:space="preserve">
Jayaraman et al., 1999; Çebi and Bayraktar, 2003; Thakkar et al., 2012; Mendoza,
2007; Songhori et al., 2011; Li et al., 2013; Kannan et al., 2013
</t>
    </r>
    <r>
      <rPr>
        <b/>
        <sz val="11"/>
        <color theme="1"/>
        <rFont val="Century Gothic"/>
        <family val="2"/>
      </rPr>
      <t xml:space="preserve">Kemungkinan produk cacat
</t>
    </r>
    <r>
      <rPr>
        <sz val="11"/>
        <color theme="1"/>
        <rFont val="Century Gothic"/>
        <family val="2"/>
      </rPr>
      <t>Mirabi et al., 2010; Mendoza 2007; Li et al., 2013</t>
    </r>
  </si>
  <si>
    <t xml:space="preserve"> </t>
  </si>
  <si>
    <t>"""""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</si>
</sst>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000"/>
    <numFmt numFmtId="175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theme="6" tint="-0.499984740745262"/>
      <name val="Calibri"/>
      <family val="2"/>
      <charset val="1"/>
      <scheme val="minor"/>
    </font>
    <font>
      <sz val="11"/>
      <color theme="6" tint="-0.499984740745262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charset val="1"/>
      <scheme val="minor"/>
    </font>
    <font>
      <b/>
      <sz val="12"/>
      <color theme="6" tint="-0.249977111117893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12"/>
      <color theme="4" tint="-0.499984740745262"/>
      <name val="Century Gothic"/>
      <family val="2"/>
    </font>
    <font>
      <i/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0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0" xfId="0" applyFont="1" applyFill="1"/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0" fillId="2" borderId="0" xfId="0" applyFill="1"/>
    <xf numFmtId="0" fontId="11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75" fontId="11" fillId="2" borderId="4" xfId="0" applyNumberFormat="1" applyFont="1" applyFill="1" applyBorder="1" applyAlignment="1">
      <alignment horizontal="center" vertical="center" wrapText="1"/>
    </xf>
    <xf numFmtId="174" fontId="11" fillId="2" borderId="4" xfId="0" applyNumberFormat="1" applyFont="1" applyFill="1" applyBorder="1" applyAlignment="1">
      <alignment horizontal="center" vertical="center" wrapText="1"/>
    </xf>
    <xf numFmtId="0" fontId="13" fillId="2" borderId="0" xfId="0" applyFont="1" applyFill="1"/>
    <xf numFmtId="0" fontId="14" fillId="2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8" fillId="2" borderId="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174" fontId="17" fillId="2" borderId="4" xfId="0" applyNumberFormat="1" applyFont="1" applyFill="1" applyBorder="1" applyAlignment="1">
      <alignment horizontal="center" vertical="center" wrapText="1"/>
    </xf>
    <xf numFmtId="174" fontId="11" fillId="2" borderId="23" xfId="0" applyNumberFormat="1" applyFont="1" applyFill="1" applyBorder="1" applyAlignment="1">
      <alignment horizontal="center" vertical="center" wrapText="1"/>
    </xf>
    <xf numFmtId="174" fontId="11" fillId="0" borderId="4" xfId="0" applyNumberFormat="1" applyFont="1" applyBorder="1" applyAlignment="1">
      <alignment horizontal="center" vertical="center" wrapText="1"/>
    </xf>
    <xf numFmtId="174" fontId="17" fillId="0" borderId="4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4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9" fontId="9" fillId="2" borderId="4" xfId="1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11" fillId="2" borderId="21" xfId="0" applyFont="1" applyFill="1" applyBorder="1" applyAlignment="1">
      <alignment horizontal="justify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horizontal="justify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4" fillId="2" borderId="25" xfId="0" applyFont="1" applyFill="1" applyBorder="1"/>
    <xf numFmtId="0" fontId="4" fillId="2" borderId="2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left" vertical="center"/>
    </xf>
    <xf numFmtId="0" fontId="4" fillId="2" borderId="13" xfId="0" applyFont="1" applyFill="1" applyBorder="1"/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22" fillId="0" borderId="3" xfId="0" applyFont="1" applyBorder="1" applyAlignment="1">
      <alignment horizontal="left" vertical="center" wrapText="1" indent="1"/>
    </xf>
    <xf numFmtId="0" fontId="11" fillId="0" borderId="9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 indent="1"/>
    </xf>
    <xf numFmtId="0" fontId="11" fillId="0" borderId="13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5" fillId="2" borderId="0" xfId="0" applyFont="1" applyFill="1"/>
    <xf numFmtId="0" fontId="11" fillId="0" borderId="19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4" fillId="2" borderId="3" xfId="0" applyFont="1" applyFill="1" applyBorder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horizontal="justify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left" vertical="center" wrapText="1" indent="1"/>
    </xf>
    <xf numFmtId="0" fontId="11" fillId="0" borderId="25" xfId="0" applyFont="1" applyBorder="1" applyAlignment="1">
      <alignment vertical="center" wrapText="1"/>
    </xf>
    <xf numFmtId="0" fontId="8" fillId="0" borderId="37" xfId="0" applyFont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/>
    </xf>
    <xf numFmtId="0" fontId="19" fillId="5" borderId="36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vertical="center" wrapText="1"/>
    </xf>
    <xf numFmtId="0" fontId="11" fillId="2" borderId="37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27" fillId="2" borderId="38" xfId="0" applyFont="1" applyFill="1" applyBorder="1" applyAlignment="1">
      <alignment horizontal="left" vertical="center"/>
    </xf>
    <xf numFmtId="0" fontId="19" fillId="4" borderId="8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3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0" xfId="0" applyFont="1" applyFill="1"/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8" fillId="2" borderId="0" xfId="0" applyFont="1" applyFill="1" applyAlignment="1"/>
    <xf numFmtId="0" fontId="8" fillId="2" borderId="5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3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6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0F3AD"/>
      <color rgb="FF6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182880</xdr:rowOff>
    </xdr:from>
    <xdr:to>
      <xdr:col>3</xdr:col>
      <xdr:colOff>2583181</xdr:colOff>
      <xdr:row>5</xdr:row>
      <xdr:rowOff>9005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2B99E5-FB2A-F3BF-76AA-BBDBDC2FF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10540"/>
          <a:ext cx="8176260" cy="3718560"/>
        </a:xfrm>
        <a:prstGeom prst="rect">
          <a:avLst/>
        </a:prstGeom>
      </xdr:spPr>
    </xdr:pic>
    <xdr:clientData/>
  </xdr:twoCellAnchor>
  <xdr:twoCellAnchor>
    <xdr:from>
      <xdr:col>0</xdr:col>
      <xdr:colOff>236220</xdr:colOff>
      <xdr:row>2</xdr:row>
      <xdr:rowOff>822960</xdr:rowOff>
    </xdr:from>
    <xdr:to>
      <xdr:col>2</xdr:col>
      <xdr:colOff>2781300</xdr:colOff>
      <xdr:row>3</xdr:row>
      <xdr:rowOff>1043940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5C626CF-7CBD-FD1A-EC37-E06ACA5CC916}"/>
            </a:ext>
          </a:extLst>
        </xdr:cNvPr>
        <xdr:cNvSpPr/>
      </xdr:nvSpPr>
      <xdr:spPr>
        <a:xfrm>
          <a:off x="236220" y="1828800"/>
          <a:ext cx="3870960" cy="1120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</xdr:col>
      <xdr:colOff>1866900</xdr:colOff>
      <xdr:row>4</xdr:row>
      <xdr:rowOff>836274</xdr:rowOff>
    </xdr:from>
    <xdr:to>
      <xdr:col>3</xdr:col>
      <xdr:colOff>2872740</xdr:colOff>
      <xdr:row>5</xdr:row>
      <xdr:rowOff>83199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E7154E0-5BD7-A5F3-552D-B36FFC266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9980" y="3990954"/>
          <a:ext cx="1005840" cy="312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mi\Documents\DATA%20USAHA%20CV%20TRIMITRA.xlsx" TargetMode="External"/><Relationship Id="rId1" Type="http://schemas.openxmlformats.org/officeDocument/2006/relationships/externalLinkPath" Target="/Users/helmi/Documents/DATA%20USAHA%20CV%20TRIMI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EI"/>
      <sheetName val="JUNI"/>
      <sheetName val="JULI"/>
      <sheetName val="AUG"/>
      <sheetName val="SEP"/>
      <sheetName val="OKT"/>
      <sheetName val="NOV"/>
      <sheetName val="DES"/>
      <sheetName val="REKAP IN-OUT 2022"/>
      <sheetName val="PO REPORT"/>
      <sheetName val="MENENTUKAN BATAS REJECT"/>
      <sheetName val="REJECT REPORT"/>
      <sheetName val="PERFORMANSI PEMAS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P5" t="str">
            <v>Count of Pemasok Terpilih</v>
          </cell>
        </row>
        <row r="6">
          <cell r="O6" t="str">
            <v>P1</v>
          </cell>
          <cell r="P6">
            <v>12</v>
          </cell>
          <cell r="R6" t="str">
            <v>Januari-2022</v>
          </cell>
          <cell r="S6">
            <v>190075000</v>
          </cell>
          <cell r="U6" t="str">
            <v>P3</v>
          </cell>
          <cell r="V6">
            <v>821730000</v>
          </cell>
        </row>
        <row r="7">
          <cell r="O7" t="str">
            <v>P2</v>
          </cell>
          <cell r="P7">
            <v>11</v>
          </cell>
          <cell r="R7" t="str">
            <v>Februari-2022</v>
          </cell>
          <cell r="S7">
            <v>274000000</v>
          </cell>
          <cell r="U7" t="str">
            <v>P2</v>
          </cell>
          <cell r="V7">
            <v>798265000</v>
          </cell>
        </row>
        <row r="8">
          <cell r="O8" t="str">
            <v>P3</v>
          </cell>
          <cell r="P8">
            <v>11</v>
          </cell>
          <cell r="R8" t="str">
            <v>Maret-2022</v>
          </cell>
          <cell r="S8">
            <v>319755000</v>
          </cell>
          <cell r="U8" t="str">
            <v>P5</v>
          </cell>
          <cell r="V8">
            <v>614400000</v>
          </cell>
        </row>
        <row r="9">
          <cell r="O9" t="str">
            <v>P4</v>
          </cell>
          <cell r="P9">
            <v>7</v>
          </cell>
          <cell r="R9">
            <v>44652</v>
          </cell>
          <cell r="S9">
            <v>367200000</v>
          </cell>
          <cell r="U9" t="str">
            <v>P6</v>
          </cell>
          <cell r="V9">
            <v>603200000</v>
          </cell>
        </row>
        <row r="10">
          <cell r="O10" t="str">
            <v>P5</v>
          </cell>
          <cell r="P10">
            <v>9</v>
          </cell>
          <cell r="R10" t="str">
            <v>Mei-2022</v>
          </cell>
          <cell r="S10">
            <v>404700000</v>
          </cell>
          <cell r="U10" t="str">
            <v>P1</v>
          </cell>
          <cell r="V10">
            <v>554785000</v>
          </cell>
        </row>
        <row r="11">
          <cell r="O11" t="str">
            <v>P6</v>
          </cell>
          <cell r="P11">
            <v>7</v>
          </cell>
          <cell r="R11" t="str">
            <v>Juni-2022</v>
          </cell>
          <cell r="S11">
            <v>507800000</v>
          </cell>
          <cell r="U11" t="str">
            <v>P7</v>
          </cell>
          <cell r="V11">
            <v>494000000</v>
          </cell>
        </row>
        <row r="12">
          <cell r="O12" t="str">
            <v>P7</v>
          </cell>
          <cell r="P12">
            <v>7</v>
          </cell>
          <cell r="R12" t="str">
            <v>Juli-2022</v>
          </cell>
          <cell r="S12">
            <v>521200000</v>
          </cell>
          <cell r="U12" t="str">
            <v>P8</v>
          </cell>
          <cell r="V12">
            <v>421200000</v>
          </cell>
        </row>
        <row r="13">
          <cell r="O13" t="str">
            <v>P8</v>
          </cell>
          <cell r="P13">
            <v>7</v>
          </cell>
          <cell r="R13" t="str">
            <v>Agustus-2022</v>
          </cell>
          <cell r="S13">
            <v>424000000</v>
          </cell>
          <cell r="U13" t="str">
            <v>P4</v>
          </cell>
          <cell r="V13">
            <v>350650000</v>
          </cell>
        </row>
        <row r="14">
          <cell r="O14" t="str">
            <v>P9</v>
          </cell>
          <cell r="P14">
            <v>6</v>
          </cell>
          <cell r="R14" t="str">
            <v>September-2022</v>
          </cell>
          <cell r="S14">
            <v>524100000</v>
          </cell>
          <cell r="U14" t="str">
            <v>P10</v>
          </cell>
          <cell r="V14">
            <v>239200000</v>
          </cell>
        </row>
        <row r="15">
          <cell r="O15" t="str">
            <v>P10</v>
          </cell>
          <cell r="P15">
            <v>5</v>
          </cell>
          <cell r="R15" t="str">
            <v>Oktober-2022</v>
          </cell>
          <cell r="S15">
            <v>316100000</v>
          </cell>
          <cell r="U15" t="str">
            <v>P9</v>
          </cell>
          <cell r="V15">
            <v>130000000</v>
          </cell>
        </row>
        <row r="16">
          <cell r="O16" t="str">
            <v>Grand Total</v>
          </cell>
          <cell r="P16">
            <v>82</v>
          </cell>
          <cell r="R16" t="str">
            <v>November-2022</v>
          </cell>
          <cell r="S16">
            <v>766200000</v>
          </cell>
        </row>
        <row r="17">
          <cell r="R17" t="str">
            <v>Desember-2022</v>
          </cell>
          <cell r="S17">
            <v>412300000</v>
          </cell>
        </row>
      </sheetData>
      <sheetData sheetId="14"/>
      <sheetData sheetId="15">
        <row r="3">
          <cell r="U3" t="str">
            <v>REJECT PRODUCT</v>
          </cell>
          <cell r="V3" t="str">
            <v>TARGET MAKSIMUM REJECT (10%)</v>
          </cell>
          <cell r="Y3" t="str">
            <v>Success Rate</v>
          </cell>
          <cell r="Z3" t="str">
            <v>Fail Rate</v>
          </cell>
        </row>
        <row r="4">
          <cell r="R4" t="str">
            <v>P1</v>
          </cell>
          <cell r="U4">
            <v>16.816600000000022</v>
          </cell>
          <cell r="V4">
            <v>10.887</v>
          </cell>
          <cell r="Y4">
            <v>0.64739602535589746</v>
          </cell>
          <cell r="Z4">
            <v>0.35260397464410254</v>
          </cell>
        </row>
        <row r="5">
          <cell r="R5" t="str">
            <v>P2</v>
          </cell>
          <cell r="U5">
            <v>18.280200000000022</v>
          </cell>
          <cell r="V5">
            <v>11.939</v>
          </cell>
          <cell r="Y5">
            <v>0.65311101629084944</v>
          </cell>
          <cell r="Z5">
            <v>0.34688898370915056</v>
          </cell>
        </row>
        <row r="6">
          <cell r="R6" t="str">
            <v>P3</v>
          </cell>
          <cell r="U6">
            <v>24.397999999999996</v>
          </cell>
          <cell r="V6">
            <v>15.734999999999999</v>
          </cell>
          <cell r="Y6">
            <v>0.64492991228789254</v>
          </cell>
          <cell r="Z6">
            <v>0.35507008771210746</v>
          </cell>
        </row>
        <row r="7">
          <cell r="R7" t="str">
            <v>P4</v>
          </cell>
          <cell r="U7">
            <v>11.304999999999993</v>
          </cell>
          <cell r="V7">
            <v>7</v>
          </cell>
          <cell r="Y7">
            <v>0.61919504643962886</v>
          </cell>
          <cell r="Z7">
            <v>0.38080495356037114</v>
          </cell>
        </row>
        <row r="8">
          <cell r="R8" t="str">
            <v>P5</v>
          </cell>
          <cell r="U8">
            <v>10.660000000000011</v>
          </cell>
          <cell r="V8">
            <v>7.3000000000000007</v>
          </cell>
          <cell r="Y8">
            <v>0.68480300187617194</v>
          </cell>
          <cell r="Z8">
            <v>0.31519699812382806</v>
          </cell>
        </row>
        <row r="9">
          <cell r="R9" t="str">
            <v>P6</v>
          </cell>
          <cell r="U9">
            <v>6.7099999999999937</v>
          </cell>
          <cell r="V9">
            <v>4.5</v>
          </cell>
          <cell r="Y9">
            <v>0.67064083457526147</v>
          </cell>
          <cell r="Z9">
            <v>0.32935916542473853</v>
          </cell>
        </row>
        <row r="10">
          <cell r="R10" t="str">
            <v>P7</v>
          </cell>
          <cell r="U10">
            <v>11.420000000000002</v>
          </cell>
          <cell r="V10">
            <v>8.2000000000000011</v>
          </cell>
          <cell r="Y10">
            <v>0.71803852889667252</v>
          </cell>
          <cell r="Z10">
            <v>0.28196147110332748</v>
          </cell>
        </row>
        <row r="11">
          <cell r="R11" t="str">
            <v>P8</v>
          </cell>
          <cell r="U11">
            <v>11.155000000000001</v>
          </cell>
          <cell r="V11">
            <v>8.8000000000000007</v>
          </cell>
          <cell r="Y11">
            <v>0.78888390856118329</v>
          </cell>
          <cell r="Z11">
            <v>0.21111609143881671</v>
          </cell>
        </row>
        <row r="12">
          <cell r="R12" t="str">
            <v>P9</v>
          </cell>
          <cell r="U12">
            <v>5.0150000000000006</v>
          </cell>
          <cell r="V12">
            <v>4</v>
          </cell>
          <cell r="Y12">
            <v>0.79760717846460605</v>
          </cell>
          <cell r="Z12">
            <v>0.20239282153539395</v>
          </cell>
        </row>
        <row r="13">
          <cell r="R13" t="str">
            <v>P10</v>
          </cell>
          <cell r="U13">
            <v>2.17</v>
          </cell>
          <cell r="V13">
            <v>1.8</v>
          </cell>
          <cell r="Y13">
            <v>0.82949308755760376</v>
          </cell>
          <cell r="Z13">
            <v>0.17050691244239624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EDE1-6070-4DA6-A980-91D41DC24488}">
  <dimension ref="A1:L7"/>
  <sheetViews>
    <sheetView topLeftCell="D1" zoomScale="110" zoomScaleNormal="110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5.88671875" style="2" customWidth="1"/>
    <col min="2" max="2" width="13.44140625" style="3" customWidth="1"/>
    <col min="3" max="3" width="62.21875" style="2" customWidth="1"/>
    <col min="4" max="4" width="42.6640625" style="1" customWidth="1"/>
    <col min="5" max="5" width="1.88671875" style="1" customWidth="1"/>
    <col min="6" max="6" width="7.88671875" style="1" customWidth="1"/>
    <col min="7" max="7" width="14.44140625" style="1" customWidth="1"/>
    <col min="8" max="8" width="37.5546875" style="1" customWidth="1"/>
    <col min="9" max="9" width="21.5546875" style="9" customWidth="1"/>
    <col min="10" max="12" width="8.88671875" style="9"/>
    <col min="13" max="16384" width="8.88671875" style="1"/>
  </cols>
  <sheetData>
    <row r="1" spans="1:9" ht="25.8" customHeight="1" thickBot="1" x14ac:dyDescent="0.35">
      <c r="A1" s="73" t="s">
        <v>93</v>
      </c>
      <c r="B1" s="74"/>
      <c r="C1" s="74"/>
      <c r="D1" s="75"/>
      <c r="F1" s="76" t="s">
        <v>18</v>
      </c>
      <c r="G1" s="77"/>
      <c r="H1" s="77"/>
      <c r="I1" s="78"/>
    </row>
    <row r="2" spans="1:9" ht="53.4" customHeight="1" thickBot="1" x14ac:dyDescent="0.35">
      <c r="A2" s="67"/>
      <c r="B2" s="68"/>
      <c r="C2" s="69"/>
      <c r="D2" s="70"/>
      <c r="F2" s="81" t="s">
        <v>0</v>
      </c>
      <c r="G2" s="83" t="s">
        <v>19</v>
      </c>
      <c r="H2" s="81" t="s">
        <v>20</v>
      </c>
      <c r="I2" s="79" t="s">
        <v>21</v>
      </c>
    </row>
    <row r="3" spans="1:9" ht="70.8" customHeight="1" thickBot="1" x14ac:dyDescent="0.35">
      <c r="A3" s="71"/>
      <c r="B3" s="60"/>
      <c r="C3" s="60"/>
      <c r="D3" s="72"/>
      <c r="F3" s="173">
        <v>1</v>
      </c>
      <c r="G3" s="174" t="s">
        <v>16</v>
      </c>
      <c r="H3" s="98" t="s">
        <v>22</v>
      </c>
      <c r="I3" s="175">
        <v>25</v>
      </c>
    </row>
    <row r="4" spans="1:9" ht="98.4" customHeight="1" thickBot="1" x14ac:dyDescent="0.35">
      <c r="A4" s="71"/>
      <c r="B4" s="60"/>
      <c r="C4" s="60"/>
      <c r="D4" s="72"/>
      <c r="F4" s="173">
        <v>2</v>
      </c>
      <c r="G4" s="174" t="s">
        <v>17</v>
      </c>
      <c r="H4" s="98" t="s">
        <v>23</v>
      </c>
      <c r="I4" s="175">
        <v>15</v>
      </c>
    </row>
    <row r="5" spans="1:9" ht="83.4" customHeight="1" thickBot="1" x14ac:dyDescent="0.35">
      <c r="A5" s="71"/>
      <c r="B5" s="60"/>
      <c r="C5" s="60"/>
      <c r="D5" s="72"/>
      <c r="F5" s="82">
        <v>3</v>
      </c>
      <c r="G5" s="84" t="s">
        <v>106</v>
      </c>
      <c r="H5" s="85" t="s">
        <v>23</v>
      </c>
      <c r="I5" s="80">
        <v>8</v>
      </c>
    </row>
    <row r="6" spans="1:9" x14ac:dyDescent="0.3">
      <c r="A6" s="59"/>
      <c r="B6" s="60"/>
      <c r="C6" s="61"/>
      <c r="D6" s="62"/>
    </row>
    <row r="7" spans="1:9" ht="15" thickBot="1" x14ac:dyDescent="0.35">
      <c r="A7" s="63"/>
      <c r="B7" s="64"/>
      <c r="C7" s="65"/>
      <c r="D7" s="66"/>
    </row>
  </sheetData>
  <mergeCells count="2">
    <mergeCell ref="A1:D1"/>
    <mergeCell ref="F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2F9C-0355-4BBC-95CB-44A8B4D9C059}">
  <dimension ref="A1:C6"/>
  <sheetViews>
    <sheetView workbookViewId="0">
      <pane ySplit="1" topLeftCell="A2" activePane="bottomLeft" state="frozen"/>
      <selection pane="bottomLeft" activeCell="C3" sqref="C3"/>
    </sheetView>
  </sheetViews>
  <sheetFormatPr defaultRowHeight="17.399999999999999" x14ac:dyDescent="0.25"/>
  <cols>
    <col min="1" max="1" width="5.21875" style="8" customWidth="1"/>
    <col min="2" max="2" width="58.77734375" style="7" customWidth="1"/>
    <col min="3" max="3" width="79.33203125" style="7" customWidth="1"/>
    <col min="4" max="16384" width="8.88671875" style="1"/>
  </cols>
  <sheetData>
    <row r="1" spans="1:3" s="5" customFormat="1" x14ac:dyDescent="0.25">
      <c r="A1" s="4" t="s">
        <v>0</v>
      </c>
      <c r="B1" s="4" t="s">
        <v>14</v>
      </c>
      <c r="C1" s="4" t="s">
        <v>15</v>
      </c>
    </row>
    <row r="2" spans="1:3" ht="168" customHeight="1" x14ac:dyDescent="0.25">
      <c r="A2" s="4">
        <v>1</v>
      </c>
      <c r="B2" s="6" t="s">
        <v>24</v>
      </c>
      <c r="C2" s="6" t="s">
        <v>142</v>
      </c>
    </row>
    <row r="3" spans="1:3" ht="262.2" customHeight="1" x14ac:dyDescent="0.25">
      <c r="A3" s="4">
        <v>2</v>
      </c>
      <c r="B3" s="6" t="s">
        <v>140</v>
      </c>
      <c r="C3" s="6" t="s">
        <v>61</v>
      </c>
    </row>
    <row r="4" spans="1:3" ht="42" customHeight="1" x14ac:dyDescent="0.25">
      <c r="A4" s="4">
        <v>3</v>
      </c>
      <c r="B4" s="6" t="s">
        <v>62</v>
      </c>
      <c r="C4" s="6" t="s">
        <v>25</v>
      </c>
    </row>
    <row r="5" spans="1:3" ht="42.6" customHeight="1" x14ac:dyDescent="0.25">
      <c r="A5" s="4">
        <v>4</v>
      </c>
      <c r="B5" s="37" t="s">
        <v>26</v>
      </c>
      <c r="C5" s="38"/>
    </row>
    <row r="6" spans="1:3" ht="191.4" customHeight="1" x14ac:dyDescent="0.25">
      <c r="A6" s="4">
        <v>5</v>
      </c>
      <c r="B6" s="6" t="s">
        <v>141</v>
      </c>
      <c r="C6" s="6" t="s">
        <v>143</v>
      </c>
    </row>
  </sheetData>
  <mergeCells count="1"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5506-79D4-4F4C-92EC-6371D3415E8D}">
  <dimension ref="A1:AH32"/>
  <sheetViews>
    <sheetView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8" width="8.88671875" style="172"/>
    <col min="9" max="9" width="22.33203125" style="172" customWidth="1"/>
    <col min="10" max="10" width="8.88671875" style="159"/>
    <col min="11" max="11" width="12" style="159" customWidth="1"/>
    <col min="12" max="12" width="8.88671875" style="159" customWidth="1"/>
    <col min="13" max="13" width="3.77734375" style="159" customWidth="1"/>
    <col min="14" max="14" width="33.6640625" style="159" customWidth="1"/>
    <col min="15" max="15" width="7.44140625" style="159" customWidth="1"/>
    <col min="16" max="16384" width="8.88671875" style="9"/>
  </cols>
  <sheetData>
    <row r="1" spans="1:34" s="86" customFormat="1" ht="21.6" customHeight="1" x14ac:dyDescent="0.25">
      <c r="A1" s="154" t="s">
        <v>0</v>
      </c>
      <c r="B1" s="155" t="s">
        <v>92</v>
      </c>
      <c r="C1" s="155"/>
      <c r="D1" s="155"/>
      <c r="E1" s="155"/>
      <c r="F1" s="155"/>
      <c r="G1" s="155"/>
      <c r="H1" s="155"/>
      <c r="I1" s="155"/>
      <c r="J1" s="156"/>
      <c r="K1" s="159"/>
      <c r="L1" s="159"/>
      <c r="M1" s="159"/>
      <c r="N1" s="159"/>
      <c r="O1" s="159"/>
      <c r="P1" s="87"/>
    </row>
    <row r="2" spans="1:34" ht="16.8" customHeight="1" x14ac:dyDescent="0.3">
      <c r="A2" s="157" t="s">
        <v>14</v>
      </c>
      <c r="B2" s="158"/>
      <c r="C2" s="158"/>
      <c r="D2" s="158"/>
      <c r="E2" s="158"/>
      <c r="F2" s="158"/>
      <c r="G2" s="158"/>
      <c r="H2" s="158"/>
      <c r="I2" s="187"/>
      <c r="K2" s="169"/>
      <c r="L2" s="169"/>
      <c r="M2" s="169"/>
      <c r="N2" s="169"/>
      <c r="O2" s="169"/>
    </row>
    <row r="3" spans="1:34" ht="16.8" customHeight="1" x14ac:dyDescent="0.3">
      <c r="A3" s="160">
        <v>1</v>
      </c>
      <c r="B3" s="161" t="s">
        <v>27</v>
      </c>
      <c r="C3" s="162"/>
      <c r="D3" s="162"/>
      <c r="E3" s="162"/>
      <c r="F3" s="162"/>
      <c r="G3" s="162"/>
      <c r="H3" s="162"/>
      <c r="I3" s="188"/>
      <c r="K3" s="169"/>
      <c r="L3" s="169"/>
      <c r="M3" s="169"/>
      <c r="N3" s="169"/>
      <c r="O3" s="169"/>
    </row>
    <row r="4" spans="1:34" ht="16.8" customHeight="1" x14ac:dyDescent="0.3">
      <c r="A4" s="163" t="s">
        <v>74</v>
      </c>
      <c r="B4" s="164"/>
      <c r="C4" s="164"/>
      <c r="D4" s="164"/>
      <c r="E4" s="164"/>
      <c r="F4" s="164"/>
      <c r="G4" s="164"/>
      <c r="H4" s="164"/>
      <c r="I4" s="189"/>
      <c r="K4" s="169"/>
      <c r="L4" s="169"/>
      <c r="M4" s="169"/>
      <c r="N4" s="169"/>
      <c r="O4" s="169"/>
    </row>
    <row r="5" spans="1:34" ht="16.8" customHeight="1" x14ac:dyDescent="0.3">
      <c r="A5" s="165">
        <v>1.1000000000000001</v>
      </c>
      <c r="B5" s="163" t="s">
        <v>75</v>
      </c>
      <c r="C5" s="164"/>
      <c r="D5" s="164"/>
      <c r="E5" s="164"/>
      <c r="F5" s="164"/>
      <c r="G5" s="164"/>
      <c r="H5" s="164"/>
      <c r="I5" s="189"/>
      <c r="K5" s="169"/>
      <c r="L5" s="169"/>
      <c r="M5" s="169"/>
      <c r="N5" s="169"/>
      <c r="O5" s="169"/>
    </row>
    <row r="6" spans="1:34" ht="16.8" customHeight="1" x14ac:dyDescent="0.3">
      <c r="A6" s="165">
        <v>1.2</v>
      </c>
      <c r="B6" s="163" t="s">
        <v>76</v>
      </c>
      <c r="C6" s="164"/>
      <c r="D6" s="164"/>
      <c r="E6" s="164"/>
      <c r="F6" s="164"/>
      <c r="G6" s="164"/>
      <c r="H6" s="164"/>
      <c r="I6" s="189"/>
    </row>
    <row r="7" spans="1:34" ht="16.8" customHeight="1" x14ac:dyDescent="0.3">
      <c r="A7" s="163">
        <v>1.3</v>
      </c>
      <c r="B7" s="176" t="s">
        <v>77</v>
      </c>
      <c r="C7" s="177"/>
      <c r="D7" s="177"/>
      <c r="E7" s="177"/>
      <c r="F7" s="177"/>
      <c r="G7" s="177"/>
      <c r="H7" s="177"/>
      <c r="I7" s="178"/>
    </row>
    <row r="8" spans="1:34" ht="16.8" customHeight="1" x14ac:dyDescent="0.3">
      <c r="A8" s="163" t="s">
        <v>14</v>
      </c>
      <c r="B8" s="164"/>
      <c r="C8" s="164"/>
      <c r="D8" s="164"/>
      <c r="E8" s="164"/>
      <c r="F8" s="164"/>
      <c r="G8" s="164"/>
      <c r="H8" s="164"/>
      <c r="I8" s="189"/>
    </row>
    <row r="9" spans="1:34" ht="16.8" customHeight="1" x14ac:dyDescent="0.3">
      <c r="A9" s="160">
        <v>2</v>
      </c>
      <c r="B9" s="161" t="s">
        <v>28</v>
      </c>
      <c r="C9" s="162"/>
      <c r="D9" s="162"/>
      <c r="E9" s="162"/>
      <c r="F9" s="162"/>
      <c r="G9" s="162"/>
      <c r="H9" s="162"/>
      <c r="I9" s="188"/>
    </row>
    <row r="10" spans="1:34" ht="16.8" customHeight="1" x14ac:dyDescent="0.3">
      <c r="A10" s="163" t="s">
        <v>15</v>
      </c>
      <c r="B10" s="164"/>
      <c r="C10" s="164"/>
      <c r="D10" s="164"/>
      <c r="E10" s="164"/>
      <c r="F10" s="164"/>
      <c r="G10" s="164"/>
      <c r="H10" s="164"/>
      <c r="I10" s="189"/>
    </row>
    <row r="11" spans="1:34" ht="16.8" customHeight="1" x14ac:dyDescent="0.3">
      <c r="A11" s="165">
        <v>2.1</v>
      </c>
      <c r="B11" s="163" t="s">
        <v>78</v>
      </c>
      <c r="C11" s="164"/>
      <c r="D11" s="164"/>
      <c r="E11" s="164"/>
      <c r="F11" s="164"/>
      <c r="G11" s="164"/>
      <c r="H11" s="164"/>
      <c r="I11" s="18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</row>
    <row r="12" spans="1:34" ht="16.8" customHeight="1" x14ac:dyDescent="0.3">
      <c r="A12" s="165">
        <v>2.2000000000000002</v>
      </c>
      <c r="B12" s="163" t="s">
        <v>107</v>
      </c>
      <c r="C12" s="164"/>
      <c r="D12" s="164"/>
      <c r="E12" s="164"/>
      <c r="F12" s="164"/>
      <c r="G12" s="164"/>
      <c r="H12" s="164"/>
      <c r="I12" s="18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1:34" ht="16.8" customHeight="1" x14ac:dyDescent="0.3">
      <c r="A13" s="165">
        <v>2.2999999999999998</v>
      </c>
      <c r="B13" s="163" t="s">
        <v>114</v>
      </c>
      <c r="C13" s="164"/>
      <c r="D13" s="164"/>
      <c r="E13" s="164"/>
      <c r="F13" s="164"/>
      <c r="G13" s="164"/>
      <c r="H13" s="164"/>
      <c r="I13" s="18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</row>
    <row r="14" spans="1:34" ht="16.8" customHeight="1" x14ac:dyDescent="0.3">
      <c r="A14" s="165">
        <v>2.4</v>
      </c>
      <c r="B14" s="163" t="s">
        <v>82</v>
      </c>
      <c r="C14" s="164"/>
      <c r="D14" s="164"/>
      <c r="E14" s="164"/>
      <c r="F14" s="164"/>
      <c r="G14" s="164"/>
      <c r="H14" s="164"/>
      <c r="I14" s="18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</row>
    <row r="15" spans="1:34" ht="16.8" customHeight="1" x14ac:dyDescent="0.3">
      <c r="A15" s="165">
        <v>2.5</v>
      </c>
      <c r="B15" s="176" t="s">
        <v>79</v>
      </c>
      <c r="C15" s="177"/>
      <c r="D15" s="177"/>
      <c r="E15" s="177"/>
      <c r="F15" s="177"/>
      <c r="G15" s="177"/>
      <c r="H15" s="177"/>
      <c r="I15" s="178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</row>
    <row r="16" spans="1:34" ht="16.8" customHeight="1" x14ac:dyDescent="0.3">
      <c r="A16" s="165">
        <v>2.6</v>
      </c>
      <c r="B16" s="176" t="s">
        <v>80</v>
      </c>
      <c r="C16" s="177"/>
      <c r="D16" s="177"/>
      <c r="E16" s="177"/>
      <c r="F16" s="177"/>
      <c r="G16" s="177"/>
      <c r="H16" s="177"/>
      <c r="I16" s="178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</row>
    <row r="17" spans="1:34" ht="16.8" customHeight="1" x14ac:dyDescent="0.3">
      <c r="A17" s="163" t="s">
        <v>14</v>
      </c>
      <c r="B17" s="164"/>
      <c r="C17" s="164"/>
      <c r="D17" s="164"/>
      <c r="E17" s="164"/>
      <c r="F17" s="164"/>
      <c r="G17" s="164"/>
      <c r="H17" s="164"/>
      <c r="I17" s="18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</row>
    <row r="18" spans="1:34" ht="16.8" customHeight="1" x14ac:dyDescent="0.3">
      <c r="A18" s="160">
        <v>3</v>
      </c>
      <c r="B18" s="161" t="s">
        <v>83</v>
      </c>
      <c r="C18" s="162"/>
      <c r="D18" s="162"/>
      <c r="E18" s="162"/>
      <c r="F18" s="162"/>
      <c r="G18" s="162"/>
      <c r="H18" s="162"/>
      <c r="I18" s="188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</row>
    <row r="19" spans="1:34" ht="16.8" customHeight="1" x14ac:dyDescent="0.3">
      <c r="A19" s="163" t="s">
        <v>15</v>
      </c>
      <c r="B19" s="164"/>
      <c r="C19" s="164"/>
      <c r="D19" s="164"/>
      <c r="E19" s="164"/>
      <c r="F19" s="164"/>
      <c r="G19" s="164"/>
      <c r="H19" s="164"/>
      <c r="I19" s="189"/>
      <c r="P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</row>
    <row r="20" spans="1:34" ht="16.8" customHeight="1" x14ac:dyDescent="0.3">
      <c r="A20" s="165">
        <v>3.1</v>
      </c>
      <c r="B20" s="165" t="s">
        <v>84</v>
      </c>
      <c r="C20" s="165"/>
      <c r="D20" s="165"/>
      <c r="E20" s="165"/>
      <c r="F20" s="165"/>
      <c r="G20" s="165"/>
      <c r="H20" s="165"/>
      <c r="I20" s="165"/>
      <c r="P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</row>
    <row r="21" spans="1:34" ht="16.8" customHeight="1" x14ac:dyDescent="0.3">
      <c r="A21" s="165">
        <v>3.2</v>
      </c>
      <c r="B21" s="170" t="s">
        <v>94</v>
      </c>
      <c r="C21" s="171"/>
      <c r="D21" s="171"/>
      <c r="E21" s="171"/>
      <c r="F21" s="171"/>
      <c r="G21" s="171"/>
      <c r="H21" s="171"/>
      <c r="I21" s="186"/>
      <c r="P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</row>
    <row r="22" spans="1:34" ht="16.8" customHeight="1" x14ac:dyDescent="0.3">
      <c r="A22" s="163" t="s">
        <v>14</v>
      </c>
      <c r="B22" s="164"/>
      <c r="C22" s="164"/>
      <c r="D22" s="164"/>
      <c r="E22" s="164"/>
      <c r="F22" s="164"/>
      <c r="G22" s="164"/>
      <c r="H22" s="164"/>
      <c r="I22" s="189"/>
      <c r="P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</row>
    <row r="23" spans="1:34" ht="16.8" customHeight="1" x14ac:dyDescent="0.3">
      <c r="A23" s="160">
        <v>4</v>
      </c>
      <c r="B23" s="161" t="s">
        <v>30</v>
      </c>
      <c r="C23" s="162"/>
      <c r="D23" s="162"/>
      <c r="E23" s="162"/>
      <c r="F23" s="162"/>
      <c r="G23" s="162"/>
      <c r="H23" s="162"/>
      <c r="I23" s="188"/>
      <c r="P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</row>
    <row r="24" spans="1:34" ht="16.8" customHeight="1" x14ac:dyDescent="0.3">
      <c r="A24" s="163" t="s">
        <v>85</v>
      </c>
      <c r="B24" s="164"/>
      <c r="C24" s="164"/>
      <c r="D24" s="164"/>
      <c r="E24" s="164"/>
      <c r="F24" s="164"/>
      <c r="G24" s="164"/>
      <c r="H24" s="164"/>
      <c r="I24" s="189"/>
      <c r="P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</row>
    <row r="25" spans="1:34" ht="16.8" customHeight="1" x14ac:dyDescent="0.3">
      <c r="A25" s="165">
        <v>4.0999999999999996</v>
      </c>
      <c r="B25" s="163" t="s">
        <v>86</v>
      </c>
      <c r="C25" s="164"/>
      <c r="D25" s="164"/>
      <c r="E25" s="164"/>
      <c r="F25" s="164"/>
      <c r="G25" s="164"/>
      <c r="H25" s="164"/>
      <c r="I25" s="189"/>
      <c r="P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</row>
    <row r="26" spans="1:34" ht="16.8" customHeight="1" x14ac:dyDescent="0.3">
      <c r="A26" s="163" t="s">
        <v>14</v>
      </c>
      <c r="B26" s="164"/>
      <c r="C26" s="164"/>
      <c r="D26" s="164"/>
      <c r="E26" s="164"/>
      <c r="F26" s="164"/>
      <c r="G26" s="164"/>
      <c r="H26" s="164"/>
      <c r="I26" s="18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</row>
    <row r="27" spans="1:34" ht="16.8" customHeight="1" x14ac:dyDescent="0.3">
      <c r="A27" s="160">
        <v>5</v>
      </c>
      <c r="B27" s="161" t="s">
        <v>31</v>
      </c>
      <c r="C27" s="162"/>
      <c r="D27" s="162"/>
      <c r="E27" s="162"/>
      <c r="F27" s="162"/>
      <c r="G27" s="162"/>
      <c r="H27" s="162"/>
      <c r="I27" s="188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</row>
    <row r="28" spans="1:34" ht="16.8" customHeight="1" x14ac:dyDescent="0.3">
      <c r="A28" s="163" t="s">
        <v>15</v>
      </c>
      <c r="B28" s="164"/>
      <c r="C28" s="164"/>
      <c r="D28" s="164"/>
      <c r="E28" s="164"/>
      <c r="F28" s="164"/>
      <c r="G28" s="164"/>
      <c r="H28" s="164"/>
      <c r="I28" s="18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</row>
    <row r="29" spans="1:34" ht="16.8" customHeight="1" x14ac:dyDescent="0.3">
      <c r="A29" s="165">
        <v>5.0999999999999996</v>
      </c>
      <c r="B29" s="163" t="s">
        <v>88</v>
      </c>
      <c r="C29" s="164"/>
      <c r="D29" s="164"/>
      <c r="E29" s="164"/>
      <c r="F29" s="164"/>
      <c r="G29" s="164"/>
      <c r="H29" s="164"/>
      <c r="I29" s="18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</row>
    <row r="30" spans="1:34" ht="16.8" customHeight="1" x14ac:dyDescent="0.3">
      <c r="A30" s="165">
        <v>5.2</v>
      </c>
      <c r="B30" s="163" t="s">
        <v>89</v>
      </c>
      <c r="C30" s="164"/>
      <c r="D30" s="164"/>
      <c r="E30" s="164"/>
      <c r="F30" s="164"/>
      <c r="G30" s="164"/>
      <c r="H30" s="164"/>
      <c r="I30" s="18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</row>
    <row r="31" spans="1:34" ht="16.8" customHeight="1" x14ac:dyDescent="0.3">
      <c r="A31" s="165">
        <v>5.3</v>
      </c>
      <c r="B31" s="163" t="s">
        <v>90</v>
      </c>
      <c r="C31" s="164"/>
      <c r="D31" s="164"/>
      <c r="E31" s="164"/>
      <c r="F31" s="164"/>
      <c r="G31" s="164"/>
      <c r="H31" s="164"/>
      <c r="I31" s="189"/>
    </row>
    <row r="32" spans="1:34" ht="16.8" customHeight="1" x14ac:dyDescent="0.3">
      <c r="A32" s="165">
        <v>5.4</v>
      </c>
      <c r="B32" s="170" t="s">
        <v>91</v>
      </c>
      <c r="C32" s="171"/>
      <c r="D32" s="171"/>
      <c r="E32" s="171"/>
      <c r="F32" s="171"/>
      <c r="G32" s="171"/>
      <c r="H32" s="171"/>
      <c r="I32" s="186"/>
    </row>
  </sheetData>
  <mergeCells count="6">
    <mergeCell ref="B15:I15"/>
    <mergeCell ref="B16:I16"/>
    <mergeCell ref="B32:I32"/>
    <mergeCell ref="B7:I7"/>
    <mergeCell ref="B21:I21"/>
    <mergeCell ref="B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B540-96F7-426A-863C-7AE85F89D630}">
  <dimension ref="A1:AG28"/>
  <sheetViews>
    <sheetView workbookViewId="0">
      <pane ySplit="1" topLeftCell="A2" activePane="bottomLeft" state="frozen"/>
      <selection pane="bottomLeft" activeCell="J10" sqref="J10"/>
    </sheetView>
  </sheetViews>
  <sheetFormatPr defaultRowHeight="14.4" x14ac:dyDescent="0.3"/>
  <cols>
    <col min="1" max="8" width="8.88671875" style="172"/>
    <col min="9" max="9" width="22.33203125" style="172" customWidth="1"/>
    <col min="10" max="10" width="8.88671875" style="159"/>
    <col min="11" max="11" width="12" style="159" customWidth="1"/>
    <col min="12" max="12" width="8.88671875" style="159" customWidth="1"/>
    <col min="13" max="13" width="3.77734375" style="159" customWidth="1"/>
    <col min="14" max="14" width="33.6640625" style="159" customWidth="1"/>
    <col min="15" max="16384" width="8.88671875" style="9"/>
  </cols>
  <sheetData>
    <row r="1" spans="1:33" s="86" customFormat="1" ht="21.6" customHeight="1" x14ac:dyDescent="0.3">
      <c r="A1" s="182" t="s">
        <v>0</v>
      </c>
      <c r="B1" s="155" t="s">
        <v>92</v>
      </c>
      <c r="C1" s="155"/>
      <c r="D1" s="155"/>
      <c r="E1" s="155"/>
      <c r="F1" s="155"/>
      <c r="G1" s="155"/>
      <c r="H1" s="155"/>
      <c r="I1" s="155"/>
      <c r="J1" s="156"/>
      <c r="K1" s="166" t="s">
        <v>115</v>
      </c>
      <c r="L1" s="167"/>
      <c r="M1" s="167"/>
      <c r="N1" s="168"/>
      <c r="O1" s="87"/>
    </row>
    <row r="2" spans="1:33" ht="16.8" customHeight="1" x14ac:dyDescent="0.3">
      <c r="A2" s="157" t="s">
        <v>14</v>
      </c>
      <c r="B2" s="157"/>
      <c r="C2" s="158"/>
      <c r="D2" s="158"/>
      <c r="E2" s="158"/>
      <c r="F2" s="158"/>
      <c r="G2" s="158"/>
      <c r="H2" s="158"/>
      <c r="I2" s="187"/>
    </row>
    <row r="3" spans="1:33" ht="16.8" customHeight="1" x14ac:dyDescent="0.3">
      <c r="A3" s="161">
        <v>1</v>
      </c>
      <c r="B3" s="161" t="s">
        <v>27</v>
      </c>
      <c r="C3" s="162"/>
      <c r="D3" s="162"/>
      <c r="E3" s="162"/>
      <c r="F3" s="162"/>
      <c r="G3" s="162"/>
      <c r="H3" s="162"/>
      <c r="I3" s="188"/>
      <c r="K3" s="179" t="s">
        <v>116</v>
      </c>
      <c r="L3" s="180"/>
      <c r="M3" s="180"/>
      <c r="N3" s="181"/>
    </row>
    <row r="4" spans="1:33" ht="16.8" customHeight="1" x14ac:dyDescent="0.3">
      <c r="A4" s="163" t="s">
        <v>74</v>
      </c>
      <c r="B4" s="163"/>
      <c r="C4" s="164"/>
      <c r="D4" s="164"/>
      <c r="E4" s="164"/>
      <c r="F4" s="164"/>
      <c r="G4" s="164"/>
      <c r="H4" s="164"/>
      <c r="I4" s="189"/>
      <c r="K4" s="107" t="s">
        <v>77</v>
      </c>
      <c r="L4" s="108"/>
      <c r="M4" s="108"/>
      <c r="N4" s="109"/>
    </row>
    <row r="5" spans="1:33" ht="16.8" customHeight="1" x14ac:dyDescent="0.3">
      <c r="A5" s="163">
        <v>1.1000000000000001</v>
      </c>
      <c r="B5" s="163" t="s">
        <v>75</v>
      </c>
      <c r="C5" s="164"/>
      <c r="D5" s="164"/>
      <c r="E5" s="164"/>
      <c r="F5" s="164"/>
      <c r="G5" s="164"/>
      <c r="H5" s="164"/>
      <c r="I5" s="189"/>
      <c r="K5" s="183" t="s">
        <v>94</v>
      </c>
      <c r="L5" s="184"/>
      <c r="M5" s="184"/>
      <c r="N5" s="185"/>
    </row>
    <row r="6" spans="1:33" ht="16.8" customHeight="1" x14ac:dyDescent="0.3">
      <c r="A6" s="163">
        <v>1.2</v>
      </c>
      <c r="B6" s="163" t="s">
        <v>76</v>
      </c>
      <c r="C6" s="164"/>
      <c r="D6" s="164"/>
      <c r="E6" s="164"/>
      <c r="F6" s="164"/>
      <c r="G6" s="164"/>
      <c r="H6" s="164"/>
      <c r="I6" s="189"/>
      <c r="K6" s="107" t="s">
        <v>79</v>
      </c>
      <c r="L6" s="108"/>
      <c r="M6" s="108"/>
      <c r="N6" s="109"/>
    </row>
    <row r="7" spans="1:33" ht="16.8" customHeight="1" x14ac:dyDescent="0.3">
      <c r="A7" s="163" t="s">
        <v>14</v>
      </c>
      <c r="B7" s="163"/>
      <c r="C7" s="164"/>
      <c r="D7" s="164"/>
      <c r="E7" s="164"/>
      <c r="F7" s="164"/>
      <c r="G7" s="164"/>
      <c r="H7" s="164"/>
      <c r="I7" s="189"/>
      <c r="K7" s="107" t="s">
        <v>80</v>
      </c>
      <c r="L7" s="108"/>
      <c r="M7" s="108"/>
      <c r="N7" s="109"/>
    </row>
    <row r="8" spans="1:33" ht="16.8" customHeight="1" x14ac:dyDescent="0.3">
      <c r="A8" s="161">
        <v>2</v>
      </c>
      <c r="B8" s="161" t="s">
        <v>28</v>
      </c>
      <c r="C8" s="162"/>
      <c r="D8" s="162"/>
      <c r="E8" s="162"/>
      <c r="F8" s="162"/>
      <c r="G8" s="162"/>
      <c r="H8" s="162"/>
      <c r="I8" s="188"/>
      <c r="K8" s="107" t="s">
        <v>87</v>
      </c>
      <c r="L8" s="108"/>
      <c r="M8" s="108"/>
      <c r="N8" s="109"/>
    </row>
    <row r="9" spans="1:33" ht="16.8" customHeight="1" x14ac:dyDescent="0.3">
      <c r="A9" s="163" t="s">
        <v>15</v>
      </c>
      <c r="B9" s="163"/>
      <c r="C9" s="164"/>
      <c r="D9" s="164"/>
      <c r="E9" s="164"/>
      <c r="F9" s="164"/>
      <c r="G9" s="164"/>
      <c r="H9" s="164"/>
      <c r="I9" s="189"/>
    </row>
    <row r="10" spans="1:33" ht="16.8" customHeight="1" x14ac:dyDescent="0.3">
      <c r="A10" s="163">
        <v>2.1</v>
      </c>
      <c r="B10" s="163" t="s">
        <v>78</v>
      </c>
      <c r="C10" s="164"/>
      <c r="D10" s="164"/>
      <c r="E10" s="164"/>
      <c r="F10" s="164"/>
      <c r="G10" s="164"/>
      <c r="H10" s="164"/>
      <c r="I10" s="189"/>
      <c r="K10" s="169"/>
      <c r="L10" s="169"/>
      <c r="M10" s="169"/>
      <c r="N10" s="169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</row>
    <row r="11" spans="1:33" ht="16.8" customHeight="1" x14ac:dyDescent="0.3">
      <c r="A11" s="163">
        <v>2.2000000000000002</v>
      </c>
      <c r="B11" s="163" t="s">
        <v>107</v>
      </c>
      <c r="C11" s="164"/>
      <c r="D11" s="164"/>
      <c r="E11" s="164"/>
      <c r="F11" s="164"/>
      <c r="G11" s="164"/>
      <c r="H11" s="164"/>
      <c r="I11" s="189"/>
      <c r="K11" s="169"/>
      <c r="L11" s="169"/>
      <c r="M11" s="169"/>
      <c r="N11" s="169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</row>
    <row r="12" spans="1:33" ht="16.8" customHeight="1" x14ac:dyDescent="0.3">
      <c r="A12" s="163">
        <v>2.2999999999999998</v>
      </c>
      <c r="B12" s="163" t="s">
        <v>114</v>
      </c>
      <c r="C12" s="164"/>
      <c r="D12" s="164"/>
      <c r="E12" s="164"/>
      <c r="F12" s="164"/>
      <c r="G12" s="164"/>
      <c r="H12" s="164"/>
      <c r="I12" s="189"/>
      <c r="K12" s="169"/>
      <c r="L12" s="169"/>
      <c r="M12" s="169"/>
      <c r="N12" s="169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</row>
    <row r="13" spans="1:33" ht="16.8" customHeight="1" x14ac:dyDescent="0.3">
      <c r="A13" s="163">
        <v>2.4</v>
      </c>
      <c r="B13" s="163" t="s">
        <v>82</v>
      </c>
      <c r="C13" s="164"/>
      <c r="D13" s="164"/>
      <c r="E13" s="164"/>
      <c r="F13" s="164"/>
      <c r="G13" s="164"/>
      <c r="H13" s="164"/>
      <c r="I13" s="189"/>
      <c r="K13" s="169"/>
      <c r="L13" s="169"/>
      <c r="M13" s="169"/>
      <c r="N13" s="169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</row>
    <row r="14" spans="1:33" ht="16.8" customHeight="1" x14ac:dyDescent="0.3">
      <c r="A14" s="163" t="s">
        <v>14</v>
      </c>
      <c r="B14" s="163"/>
      <c r="C14" s="164"/>
      <c r="D14" s="164"/>
      <c r="E14" s="164"/>
      <c r="F14" s="164"/>
      <c r="G14" s="164"/>
      <c r="H14" s="164"/>
      <c r="I14" s="189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</row>
    <row r="15" spans="1:33" ht="16.8" customHeight="1" x14ac:dyDescent="0.3">
      <c r="A15" s="161">
        <v>3</v>
      </c>
      <c r="B15" s="161" t="s">
        <v>83</v>
      </c>
      <c r="C15" s="162"/>
      <c r="D15" s="162"/>
      <c r="E15" s="162"/>
      <c r="F15" s="162"/>
      <c r="G15" s="162"/>
      <c r="H15" s="162"/>
      <c r="I15" s="188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3" ht="16.8" customHeight="1" x14ac:dyDescent="0.3">
      <c r="A16" s="163" t="s">
        <v>15</v>
      </c>
      <c r="B16" s="163"/>
      <c r="C16" s="164"/>
      <c r="D16" s="164"/>
      <c r="E16" s="164"/>
      <c r="F16" s="164"/>
      <c r="G16" s="164"/>
      <c r="H16" s="164"/>
      <c r="I16" s="189"/>
      <c r="O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  <row r="17" spans="1:33" ht="16.8" customHeight="1" x14ac:dyDescent="0.3">
      <c r="A17" s="163">
        <v>3.1</v>
      </c>
      <c r="B17" s="165" t="s">
        <v>84</v>
      </c>
      <c r="C17" s="165"/>
      <c r="D17" s="165"/>
      <c r="E17" s="165"/>
      <c r="F17" s="165"/>
      <c r="G17" s="165"/>
      <c r="H17" s="165"/>
      <c r="I17" s="165"/>
      <c r="O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</row>
    <row r="18" spans="1:33" ht="16.8" customHeight="1" x14ac:dyDescent="0.3">
      <c r="A18" s="163" t="s">
        <v>14</v>
      </c>
      <c r="B18" s="163"/>
      <c r="C18" s="164"/>
      <c r="D18" s="164"/>
      <c r="E18" s="164"/>
      <c r="F18" s="164"/>
      <c r="G18" s="164"/>
      <c r="H18" s="164"/>
      <c r="I18" s="189"/>
      <c r="O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</row>
    <row r="19" spans="1:33" ht="16.8" customHeight="1" x14ac:dyDescent="0.3">
      <c r="A19" s="161">
        <v>4</v>
      </c>
      <c r="B19" s="161" t="s">
        <v>30</v>
      </c>
      <c r="C19" s="162"/>
      <c r="D19" s="162"/>
      <c r="E19" s="162"/>
      <c r="F19" s="162"/>
      <c r="G19" s="162"/>
      <c r="H19" s="162"/>
      <c r="I19" s="188"/>
      <c r="O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 spans="1:33" ht="16.8" customHeight="1" x14ac:dyDescent="0.3">
      <c r="A20" s="163" t="s">
        <v>85</v>
      </c>
      <c r="B20" s="163"/>
      <c r="C20" s="164"/>
      <c r="D20" s="164"/>
      <c r="E20" s="164"/>
      <c r="F20" s="164"/>
      <c r="G20" s="164"/>
      <c r="H20" s="164"/>
      <c r="I20" s="189"/>
      <c r="O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 spans="1:33" ht="16.8" customHeight="1" x14ac:dyDescent="0.3">
      <c r="A21" s="163">
        <v>4.0999999999999996</v>
      </c>
      <c r="B21" s="163" t="s">
        <v>86</v>
      </c>
      <c r="C21" s="164"/>
      <c r="D21" s="164"/>
      <c r="E21" s="164"/>
      <c r="F21" s="164"/>
      <c r="G21" s="164"/>
      <c r="H21" s="164"/>
      <c r="I21" s="189"/>
      <c r="O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 spans="1:33" ht="16.8" customHeight="1" x14ac:dyDescent="0.3">
      <c r="A22" s="163" t="s">
        <v>14</v>
      </c>
      <c r="B22" s="163"/>
      <c r="C22" s="164"/>
      <c r="D22" s="164"/>
      <c r="E22" s="164"/>
      <c r="F22" s="164"/>
      <c r="G22" s="164"/>
      <c r="H22" s="164"/>
      <c r="I22" s="189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 spans="1:33" ht="16.8" customHeight="1" x14ac:dyDescent="0.3">
      <c r="A23" s="161">
        <v>5</v>
      </c>
      <c r="B23" s="161" t="s">
        <v>31</v>
      </c>
      <c r="C23" s="162"/>
      <c r="D23" s="162"/>
      <c r="E23" s="162"/>
      <c r="F23" s="162"/>
      <c r="G23" s="162"/>
      <c r="H23" s="162"/>
      <c r="I23" s="188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 spans="1:33" ht="16.8" customHeight="1" x14ac:dyDescent="0.3">
      <c r="A24" s="163" t="s">
        <v>15</v>
      </c>
      <c r="B24" s="163"/>
      <c r="C24" s="164"/>
      <c r="D24" s="164"/>
      <c r="E24" s="164"/>
      <c r="F24" s="164"/>
      <c r="G24" s="164"/>
      <c r="H24" s="164"/>
      <c r="I24" s="189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 spans="1:33" ht="16.8" customHeight="1" x14ac:dyDescent="0.3">
      <c r="A25" s="163">
        <v>5.0999999999999996</v>
      </c>
      <c r="B25" s="163" t="s">
        <v>88</v>
      </c>
      <c r="C25" s="164"/>
      <c r="D25" s="164"/>
      <c r="E25" s="164"/>
      <c r="F25" s="164"/>
      <c r="G25" s="164"/>
      <c r="H25" s="164"/>
      <c r="I25" s="189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 spans="1:33" ht="16.8" customHeight="1" x14ac:dyDescent="0.3">
      <c r="A26" s="163">
        <v>5.2</v>
      </c>
      <c r="B26" s="163" t="s">
        <v>89</v>
      </c>
      <c r="C26" s="164"/>
      <c r="D26" s="164"/>
      <c r="E26" s="164"/>
      <c r="F26" s="164"/>
      <c r="G26" s="164"/>
      <c r="H26" s="164"/>
      <c r="I26" s="189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 spans="1:33" ht="16.8" customHeight="1" x14ac:dyDescent="0.3">
      <c r="A27" s="163">
        <v>5.3</v>
      </c>
      <c r="B27" s="163" t="s">
        <v>90</v>
      </c>
      <c r="C27" s="164"/>
      <c r="D27" s="164"/>
      <c r="E27" s="164"/>
      <c r="F27" s="164"/>
      <c r="G27" s="164"/>
      <c r="H27" s="164"/>
      <c r="I27" s="189"/>
    </row>
    <row r="28" spans="1:33" ht="16.8" customHeight="1" x14ac:dyDescent="0.3">
      <c r="A28" s="163">
        <v>5.4</v>
      </c>
      <c r="B28" s="170" t="s">
        <v>91</v>
      </c>
      <c r="C28" s="171"/>
      <c r="D28" s="171"/>
      <c r="E28" s="171"/>
      <c r="F28" s="171"/>
      <c r="G28" s="171"/>
      <c r="H28" s="171"/>
      <c r="I28" s="186"/>
    </row>
  </sheetData>
  <mergeCells count="9">
    <mergeCell ref="K4:N4"/>
    <mergeCell ref="K1:N1"/>
    <mergeCell ref="K3:N3"/>
    <mergeCell ref="K5:N5"/>
    <mergeCell ref="K6:N6"/>
    <mergeCell ref="K7:N7"/>
    <mergeCell ref="K8:N8"/>
    <mergeCell ref="B1:I1"/>
    <mergeCell ref="B28:I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02E3-4ED9-4DC6-9BAF-F13F1E7B1D9F}">
  <dimension ref="B1:X14"/>
  <sheetViews>
    <sheetView workbookViewId="0">
      <selection activeCell="K3" sqref="K3"/>
    </sheetView>
  </sheetViews>
  <sheetFormatPr defaultRowHeight="14.4" x14ac:dyDescent="0.3"/>
  <cols>
    <col min="1" max="1" width="8.88671875" style="9"/>
    <col min="2" max="2" width="17.5546875" style="9" customWidth="1"/>
    <col min="3" max="3" width="26.5546875" style="9" customWidth="1"/>
    <col min="4" max="4" width="35.33203125" style="9" customWidth="1"/>
    <col min="5" max="5" width="8.88671875" style="9"/>
    <col min="6" max="6" width="12.6640625" style="51" customWidth="1"/>
    <col min="7" max="23" width="2.77734375" style="51" customWidth="1"/>
    <col min="24" max="24" width="12.6640625" style="51" customWidth="1"/>
    <col min="25" max="16384" width="8.88671875" style="9"/>
  </cols>
  <sheetData>
    <row r="1" spans="2:24" ht="55.8" customHeight="1" thickBot="1" x14ac:dyDescent="0.35">
      <c r="B1" s="145" t="s">
        <v>138</v>
      </c>
    </row>
    <row r="2" spans="2:24" ht="39.6" customHeight="1" thickBot="1" x14ac:dyDescent="0.35">
      <c r="B2" s="135" t="s">
        <v>117</v>
      </c>
      <c r="C2" s="136" t="s">
        <v>118</v>
      </c>
      <c r="D2" s="136" t="s">
        <v>11</v>
      </c>
      <c r="F2" s="147" t="s">
        <v>133</v>
      </c>
    </row>
    <row r="3" spans="2:24" ht="34.799999999999997" customHeight="1" thickBot="1" x14ac:dyDescent="0.35">
      <c r="B3" s="137">
        <v>1</v>
      </c>
      <c r="C3" s="138" t="s">
        <v>119</v>
      </c>
      <c r="D3" s="143" t="s">
        <v>120</v>
      </c>
      <c r="F3" s="149" t="s">
        <v>135</v>
      </c>
    </row>
    <row r="4" spans="2:24" ht="29.4" customHeight="1" thickBot="1" x14ac:dyDescent="0.35">
      <c r="B4" s="139"/>
      <c r="C4" s="140"/>
      <c r="D4" s="144"/>
      <c r="F4" s="146" t="s">
        <v>134</v>
      </c>
      <c r="G4" s="148">
        <v>9</v>
      </c>
      <c r="H4" s="148">
        <v>8</v>
      </c>
      <c r="I4" s="148">
        <v>7</v>
      </c>
      <c r="J4" s="148">
        <v>6</v>
      </c>
      <c r="K4" s="148">
        <v>5</v>
      </c>
      <c r="L4" s="148">
        <v>4</v>
      </c>
      <c r="M4" s="148">
        <v>3</v>
      </c>
      <c r="N4" s="148">
        <v>2</v>
      </c>
      <c r="O4" s="148">
        <v>1</v>
      </c>
      <c r="P4" s="148">
        <v>2</v>
      </c>
      <c r="Q4" s="148">
        <v>3</v>
      </c>
      <c r="R4" s="148">
        <v>4</v>
      </c>
      <c r="S4" s="148">
        <v>5</v>
      </c>
      <c r="T4" s="148">
        <v>6</v>
      </c>
      <c r="U4" s="148">
        <v>7</v>
      </c>
      <c r="V4" s="148">
        <v>8</v>
      </c>
      <c r="W4" s="148">
        <v>9</v>
      </c>
      <c r="X4" s="148" t="s">
        <v>27</v>
      </c>
    </row>
    <row r="5" spans="2:24" ht="24.6" customHeight="1" x14ac:dyDescent="0.3">
      <c r="B5" s="54">
        <v>3</v>
      </c>
      <c r="C5" s="53" t="s">
        <v>121</v>
      </c>
      <c r="D5" s="143" t="s">
        <v>122</v>
      </c>
    </row>
    <row r="6" spans="2:24" ht="31.8" customHeight="1" thickBot="1" x14ac:dyDescent="0.35">
      <c r="B6" s="57"/>
      <c r="C6" s="56"/>
      <c r="D6" s="144"/>
      <c r="F6" s="149" t="s">
        <v>136</v>
      </c>
      <c r="G6" s="147"/>
    </row>
    <row r="7" spans="2:24" ht="29.4" customHeight="1" thickBot="1" x14ac:dyDescent="0.35">
      <c r="B7" s="54">
        <v>5</v>
      </c>
      <c r="C7" s="141" t="s">
        <v>123</v>
      </c>
      <c r="D7" s="143" t="s">
        <v>129</v>
      </c>
      <c r="F7" s="146" t="s">
        <v>134</v>
      </c>
      <c r="G7" s="148">
        <v>9</v>
      </c>
      <c r="H7" s="148">
        <v>8</v>
      </c>
      <c r="I7" s="148">
        <v>7</v>
      </c>
      <c r="J7" s="148">
        <v>6</v>
      </c>
      <c r="K7" s="148">
        <v>5</v>
      </c>
      <c r="L7" s="148">
        <v>4</v>
      </c>
      <c r="M7" s="148">
        <v>3</v>
      </c>
      <c r="N7" s="148">
        <v>2</v>
      </c>
      <c r="O7" s="148">
        <v>1</v>
      </c>
      <c r="P7" s="148">
        <v>2</v>
      </c>
      <c r="Q7" s="148">
        <v>3</v>
      </c>
      <c r="R7" s="148">
        <v>4</v>
      </c>
      <c r="S7" s="148">
        <v>5</v>
      </c>
      <c r="T7" s="148">
        <v>6</v>
      </c>
      <c r="U7" s="148">
        <v>7</v>
      </c>
      <c r="V7" s="148">
        <v>8</v>
      </c>
      <c r="W7" s="148">
        <v>9</v>
      </c>
      <c r="X7" s="148" t="s">
        <v>27</v>
      </c>
    </row>
    <row r="8" spans="2:24" ht="24.6" customHeight="1" thickBot="1" x14ac:dyDescent="0.35">
      <c r="B8" s="57"/>
      <c r="C8" s="142" t="s">
        <v>124</v>
      </c>
      <c r="D8" s="144"/>
      <c r="G8" s="147"/>
    </row>
    <row r="9" spans="2:24" ht="35.4" customHeight="1" thickBot="1" x14ac:dyDescent="0.35">
      <c r="B9" s="54">
        <v>7</v>
      </c>
      <c r="C9" s="55" t="s">
        <v>125</v>
      </c>
      <c r="D9" s="143" t="s">
        <v>126</v>
      </c>
      <c r="F9" s="149" t="s">
        <v>137</v>
      </c>
    </row>
    <row r="10" spans="2:24" ht="29.4" customHeight="1" thickBot="1" x14ac:dyDescent="0.35">
      <c r="B10" s="57"/>
      <c r="C10" s="58"/>
      <c r="D10" s="144"/>
      <c r="F10" s="146" t="s">
        <v>134</v>
      </c>
      <c r="G10" s="148">
        <v>9</v>
      </c>
      <c r="H10" s="148">
        <v>8</v>
      </c>
      <c r="I10" s="148">
        <v>7</v>
      </c>
      <c r="J10" s="148">
        <v>6</v>
      </c>
      <c r="K10" s="148">
        <v>5</v>
      </c>
      <c r="L10" s="148">
        <v>4</v>
      </c>
      <c r="M10" s="148">
        <v>3</v>
      </c>
      <c r="N10" s="148">
        <v>2</v>
      </c>
      <c r="O10" s="148">
        <v>1</v>
      </c>
      <c r="P10" s="148">
        <v>2</v>
      </c>
      <c r="Q10" s="148">
        <v>3</v>
      </c>
      <c r="R10" s="148">
        <v>4</v>
      </c>
      <c r="S10" s="148">
        <v>5</v>
      </c>
      <c r="T10" s="148">
        <v>6</v>
      </c>
      <c r="U10" s="148">
        <v>7</v>
      </c>
      <c r="V10" s="148">
        <v>8</v>
      </c>
      <c r="W10" s="148">
        <v>9</v>
      </c>
      <c r="X10" s="148" t="s">
        <v>27</v>
      </c>
    </row>
    <row r="11" spans="2:24" ht="24.6" customHeight="1" x14ac:dyDescent="0.3">
      <c r="B11" s="54">
        <v>9</v>
      </c>
      <c r="C11" s="53" t="s">
        <v>127</v>
      </c>
      <c r="D11" s="143" t="s">
        <v>130</v>
      </c>
    </row>
    <row r="12" spans="2:24" ht="24.6" customHeight="1" thickBot="1" x14ac:dyDescent="0.35">
      <c r="B12" s="57"/>
      <c r="C12" s="56"/>
      <c r="D12" s="144"/>
    </row>
    <row r="13" spans="2:24" ht="24.6" customHeight="1" x14ac:dyDescent="0.3">
      <c r="B13" s="54" t="s">
        <v>128</v>
      </c>
      <c r="C13" s="143" t="s">
        <v>131</v>
      </c>
      <c r="D13" s="143" t="s">
        <v>132</v>
      </c>
    </row>
    <row r="14" spans="2:24" ht="24.6" customHeight="1" thickBot="1" x14ac:dyDescent="0.35">
      <c r="B14" s="57"/>
      <c r="C14" s="144"/>
      <c r="D14" s="144"/>
    </row>
  </sheetData>
  <mergeCells count="17">
    <mergeCell ref="B13:B14"/>
    <mergeCell ref="D7:D8"/>
    <mergeCell ref="D11:D12"/>
    <mergeCell ref="C13:C14"/>
    <mergeCell ref="D13:D14"/>
    <mergeCell ref="C11:C12"/>
    <mergeCell ref="B3:B4"/>
    <mergeCell ref="B5:B6"/>
    <mergeCell ref="B7:B8"/>
    <mergeCell ref="B9:B10"/>
    <mergeCell ref="B11:B12"/>
    <mergeCell ref="C3:C4"/>
    <mergeCell ref="D3:D4"/>
    <mergeCell ref="C5:C6"/>
    <mergeCell ref="D5:D6"/>
    <mergeCell ref="C9:C10"/>
    <mergeCell ref="D9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C549-4739-4E84-B864-E96013A051AA}">
  <dimension ref="B1:CB229"/>
  <sheetViews>
    <sheetView zoomScale="60" zoomScaleNormal="6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8.88671875" style="9"/>
    <col min="2" max="2" width="11.88671875" style="9" customWidth="1"/>
    <col min="3" max="19" width="3.44140625" style="9" customWidth="1"/>
    <col min="20" max="20" width="12.33203125" style="9" customWidth="1"/>
    <col min="21" max="21" width="8.88671875" style="9"/>
    <col min="22" max="22" width="35.109375" style="9" customWidth="1"/>
    <col min="23" max="39" width="3.44140625" style="9" customWidth="1"/>
    <col min="40" max="40" width="35.109375" style="9" customWidth="1"/>
    <col min="41" max="41" width="8.88671875" style="9"/>
    <col min="42" max="42" width="35.109375" style="9" customWidth="1"/>
    <col min="43" max="59" width="3.44140625" style="9" customWidth="1"/>
    <col min="60" max="60" width="35.109375" style="9" customWidth="1"/>
    <col min="61" max="61" width="8.88671875" style="9"/>
    <col min="62" max="62" width="35.109375" style="9" customWidth="1"/>
    <col min="63" max="79" width="3.44140625" style="9" customWidth="1"/>
    <col min="80" max="80" width="35.109375" style="9" customWidth="1"/>
    <col min="81" max="16384" width="8.88671875" style="9"/>
  </cols>
  <sheetData>
    <row r="1" spans="2:80" ht="33.6" x14ac:dyDescent="0.65">
      <c r="B1" s="93" t="s">
        <v>96</v>
      </c>
      <c r="V1" s="93" t="s">
        <v>97</v>
      </c>
      <c r="AP1" s="93"/>
      <c r="BJ1" s="93"/>
    </row>
    <row r="2" spans="2:80" ht="15" x14ac:dyDescent="0.3">
      <c r="B2" s="106" t="s">
        <v>112</v>
      </c>
      <c r="C2" s="106"/>
      <c r="D2" s="106"/>
      <c r="E2" s="106"/>
      <c r="V2" s="106" t="str">
        <f>B2</f>
        <v>EXPERT 1 - Agus Pramono (MANAGER OPERASIONAL)</v>
      </c>
      <c r="W2" s="106"/>
      <c r="X2" s="106"/>
      <c r="Y2" s="106"/>
      <c r="AP2" s="106" t="str">
        <f>B15</f>
        <v>EXPERT 2 - Soeharjo Pramudya (KEPALA PRODUKSI)</v>
      </c>
      <c r="AQ2" s="106"/>
      <c r="AR2" s="106"/>
      <c r="AS2" s="106"/>
      <c r="BJ2" s="106" t="str">
        <f>B28</f>
        <v>EXPERT 3 - Syarif Handoko (PERENCANA PENGADAAN)</v>
      </c>
      <c r="BK2" s="106"/>
      <c r="BL2" s="106"/>
      <c r="BM2" s="106"/>
    </row>
    <row r="3" spans="2:80" ht="16.2" customHeight="1" x14ac:dyDescent="0.3">
      <c r="B3" s="45" t="s">
        <v>32</v>
      </c>
      <c r="C3" s="45" t="s">
        <v>33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 t="s">
        <v>32</v>
      </c>
      <c r="V3" s="105" t="s">
        <v>110</v>
      </c>
      <c r="W3" s="45" t="s">
        <v>33</v>
      </c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105" t="s">
        <v>110</v>
      </c>
      <c r="AP3" s="105" t="s">
        <v>110</v>
      </c>
      <c r="AQ3" s="45" t="s">
        <v>33</v>
      </c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105" t="s">
        <v>110</v>
      </c>
      <c r="BJ3" s="105" t="s">
        <v>110</v>
      </c>
      <c r="BK3" s="45" t="s">
        <v>33</v>
      </c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105" t="s">
        <v>110</v>
      </c>
    </row>
    <row r="4" spans="2:80" ht="30.6" customHeight="1" x14ac:dyDescent="0.3">
      <c r="B4" s="45"/>
      <c r="C4" s="100">
        <v>9</v>
      </c>
      <c r="D4" s="100">
        <v>8</v>
      </c>
      <c r="E4" s="100">
        <v>7</v>
      </c>
      <c r="F4" s="100">
        <v>6</v>
      </c>
      <c r="G4" s="100">
        <v>5</v>
      </c>
      <c r="H4" s="100">
        <v>4</v>
      </c>
      <c r="I4" s="100">
        <v>3</v>
      </c>
      <c r="J4" s="100">
        <v>2</v>
      </c>
      <c r="K4" s="100">
        <v>1</v>
      </c>
      <c r="L4" s="100">
        <v>2</v>
      </c>
      <c r="M4" s="100">
        <v>3</v>
      </c>
      <c r="N4" s="100">
        <v>4</v>
      </c>
      <c r="O4" s="100">
        <v>5</v>
      </c>
      <c r="P4" s="100">
        <v>6</v>
      </c>
      <c r="Q4" s="100">
        <v>7</v>
      </c>
      <c r="R4" s="100">
        <v>8</v>
      </c>
      <c r="S4" s="100">
        <v>9</v>
      </c>
      <c r="T4" s="45"/>
      <c r="V4" s="46"/>
      <c r="W4" s="100">
        <v>9</v>
      </c>
      <c r="X4" s="100">
        <v>8</v>
      </c>
      <c r="Y4" s="100">
        <v>7</v>
      </c>
      <c r="Z4" s="100">
        <v>6</v>
      </c>
      <c r="AA4" s="100">
        <v>5</v>
      </c>
      <c r="AB4" s="100">
        <v>4</v>
      </c>
      <c r="AC4" s="100">
        <v>3</v>
      </c>
      <c r="AD4" s="100">
        <v>2</v>
      </c>
      <c r="AE4" s="100">
        <v>1</v>
      </c>
      <c r="AF4" s="100">
        <v>2</v>
      </c>
      <c r="AG4" s="100">
        <v>3</v>
      </c>
      <c r="AH4" s="100">
        <v>4</v>
      </c>
      <c r="AI4" s="100">
        <v>5</v>
      </c>
      <c r="AJ4" s="100">
        <v>6</v>
      </c>
      <c r="AK4" s="100">
        <v>7</v>
      </c>
      <c r="AL4" s="100">
        <v>8</v>
      </c>
      <c r="AM4" s="100">
        <v>9</v>
      </c>
      <c r="AN4" s="46"/>
      <c r="AP4" s="46"/>
      <c r="AQ4" s="100">
        <v>9</v>
      </c>
      <c r="AR4" s="100">
        <v>8</v>
      </c>
      <c r="AS4" s="100">
        <v>7</v>
      </c>
      <c r="AT4" s="100">
        <v>6</v>
      </c>
      <c r="AU4" s="100">
        <v>5</v>
      </c>
      <c r="AV4" s="100">
        <v>4</v>
      </c>
      <c r="AW4" s="100">
        <v>3</v>
      </c>
      <c r="AX4" s="100">
        <v>2</v>
      </c>
      <c r="AY4" s="100">
        <v>1</v>
      </c>
      <c r="AZ4" s="100">
        <v>2</v>
      </c>
      <c r="BA4" s="100">
        <v>3</v>
      </c>
      <c r="BB4" s="100">
        <v>4</v>
      </c>
      <c r="BC4" s="100">
        <v>5</v>
      </c>
      <c r="BD4" s="100">
        <v>6</v>
      </c>
      <c r="BE4" s="100">
        <v>7</v>
      </c>
      <c r="BF4" s="100">
        <v>8</v>
      </c>
      <c r="BG4" s="100">
        <v>9</v>
      </c>
      <c r="BH4" s="46"/>
      <c r="BJ4" s="46"/>
      <c r="BK4" s="100">
        <v>9</v>
      </c>
      <c r="BL4" s="100">
        <v>8</v>
      </c>
      <c r="BM4" s="100">
        <v>7</v>
      </c>
      <c r="BN4" s="100">
        <v>6</v>
      </c>
      <c r="BO4" s="100">
        <v>5</v>
      </c>
      <c r="BP4" s="100">
        <v>4</v>
      </c>
      <c r="BQ4" s="100">
        <v>3</v>
      </c>
      <c r="BR4" s="100">
        <v>2</v>
      </c>
      <c r="BS4" s="100">
        <v>1</v>
      </c>
      <c r="BT4" s="100">
        <v>2</v>
      </c>
      <c r="BU4" s="100">
        <v>3</v>
      </c>
      <c r="BV4" s="100">
        <v>4</v>
      </c>
      <c r="BW4" s="100">
        <v>5</v>
      </c>
      <c r="BX4" s="100">
        <v>6</v>
      </c>
      <c r="BY4" s="100">
        <v>7</v>
      </c>
      <c r="BZ4" s="100">
        <v>8</v>
      </c>
      <c r="CA4" s="100">
        <v>9</v>
      </c>
      <c r="CB4" s="46"/>
    </row>
    <row r="5" spans="2:80" ht="30.6" customHeight="1" x14ac:dyDescent="0.3">
      <c r="B5" s="44" t="s">
        <v>27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00" t="s">
        <v>139</v>
      </c>
      <c r="R5" s="15"/>
      <c r="S5" s="15"/>
      <c r="T5" s="15" t="s">
        <v>28</v>
      </c>
      <c r="V5" s="101" t="s">
        <v>75</v>
      </c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 t="s">
        <v>139</v>
      </c>
      <c r="AJ5" s="100"/>
      <c r="AK5" s="100"/>
      <c r="AL5" s="100"/>
      <c r="AM5" s="100"/>
      <c r="AN5" s="102" t="s">
        <v>78</v>
      </c>
      <c r="AP5" s="101" t="str">
        <f>V5</f>
        <v>Fleksibilitas dalam melakukan perubahan pesanan dan pembayaran</v>
      </c>
      <c r="AQ5" s="100"/>
      <c r="AR5" s="100"/>
      <c r="AS5" s="100"/>
      <c r="AT5" s="100"/>
      <c r="AU5" s="100"/>
      <c r="AV5" s="100"/>
      <c r="AW5" s="100"/>
      <c r="AX5" s="100"/>
      <c r="AY5" s="100" t="s">
        <v>139</v>
      </c>
      <c r="AZ5" s="100"/>
      <c r="BA5" s="100"/>
      <c r="BB5" s="100"/>
      <c r="BC5" s="100"/>
      <c r="BD5" s="100"/>
      <c r="BE5" s="100"/>
      <c r="BF5" s="100"/>
      <c r="BG5" s="100"/>
      <c r="BH5" s="102" t="str">
        <f>AN5</f>
        <v>Reputasi dan posisi vendor dalam pasar</v>
      </c>
      <c r="BJ5" s="101" t="s">
        <v>75</v>
      </c>
      <c r="BK5" s="100"/>
      <c r="BL5" s="100"/>
      <c r="BM5" s="100"/>
      <c r="BN5" s="100"/>
      <c r="BO5" s="100"/>
      <c r="BP5" s="100"/>
      <c r="BQ5" s="50"/>
      <c r="BR5" s="100"/>
      <c r="BS5" s="100" t="s">
        <v>139</v>
      </c>
      <c r="BT5" s="100"/>
      <c r="BU5" s="100"/>
      <c r="BV5" s="100"/>
      <c r="BW5" s="100"/>
      <c r="BX5" s="100"/>
      <c r="BY5" s="100"/>
      <c r="BZ5" s="100"/>
      <c r="CA5" s="100"/>
      <c r="CB5" s="102" t="s">
        <v>78</v>
      </c>
    </row>
    <row r="6" spans="2:80" ht="30.6" customHeight="1" x14ac:dyDescent="0.3">
      <c r="B6" s="4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00" t="s">
        <v>139</v>
      </c>
      <c r="P6" s="15"/>
      <c r="Q6" s="15"/>
      <c r="R6" s="15"/>
      <c r="S6" s="15"/>
      <c r="T6" s="15" t="s">
        <v>30</v>
      </c>
      <c r="V6" s="101" t="s">
        <v>75</v>
      </c>
      <c r="W6" s="100"/>
      <c r="X6" s="100"/>
      <c r="Y6" s="100"/>
      <c r="Z6" s="100"/>
      <c r="AA6" s="100" t="s">
        <v>139</v>
      </c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2" t="s">
        <v>107</v>
      </c>
      <c r="AP6" s="101" t="str">
        <f t="shared" ref="AP6:BE57" si="0">V6</f>
        <v>Fleksibilitas dalam melakukan perubahan pesanan dan pembayaran</v>
      </c>
      <c r="AQ6" s="100"/>
      <c r="AR6" s="100"/>
      <c r="AS6" s="100"/>
      <c r="AT6" s="100"/>
      <c r="AU6" s="100"/>
      <c r="AV6" s="100" t="s">
        <v>139</v>
      </c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2" t="str">
        <f t="shared" ref="BH6:BH57" si="1">AN6</f>
        <v>Hubungan dengan vendor seperti: Komunikasi</v>
      </c>
      <c r="BJ6" s="101" t="s">
        <v>75</v>
      </c>
      <c r="BK6" s="100"/>
      <c r="BL6" s="100"/>
      <c r="BM6" s="100"/>
      <c r="BN6" s="100"/>
      <c r="BO6" s="100"/>
      <c r="BP6" s="50"/>
      <c r="BQ6" s="100"/>
      <c r="BR6" s="100"/>
      <c r="BS6" s="100"/>
      <c r="BT6" s="100"/>
      <c r="BU6" s="100"/>
      <c r="BV6" s="100"/>
      <c r="BW6" s="100"/>
      <c r="BX6" s="100"/>
      <c r="BY6" s="100" t="s">
        <v>139</v>
      </c>
      <c r="BZ6" s="100"/>
      <c r="CA6" s="100"/>
      <c r="CB6" s="102" t="s">
        <v>107</v>
      </c>
    </row>
    <row r="7" spans="2:80" ht="30.6" customHeight="1" x14ac:dyDescent="0.3">
      <c r="B7" s="44"/>
      <c r="C7" s="15"/>
      <c r="D7" s="15"/>
      <c r="E7" s="15"/>
      <c r="F7" s="100" t="s">
        <v>139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 t="s">
        <v>29</v>
      </c>
      <c r="V7" s="101" t="s">
        <v>75</v>
      </c>
      <c r="W7" s="100"/>
      <c r="X7" s="100"/>
      <c r="Y7" s="100"/>
      <c r="Z7" s="100" t="s">
        <v>139</v>
      </c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2" t="s">
        <v>81</v>
      </c>
      <c r="AP7" s="101" t="str">
        <f t="shared" si="0"/>
        <v>Fleksibilitas dalam melakukan perubahan pesanan dan pembayaran</v>
      </c>
      <c r="AQ7" s="100"/>
      <c r="AR7" s="100"/>
      <c r="AS7" s="100"/>
      <c r="AT7" s="100"/>
      <c r="AU7" s="100" t="s">
        <v>139</v>
      </c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2" t="str">
        <f t="shared" si="1"/>
        <v>Dedikasi dan kepercayaan</v>
      </c>
      <c r="BJ7" s="101" t="s">
        <v>75</v>
      </c>
      <c r="BK7" s="100"/>
      <c r="BL7" s="100"/>
      <c r="BM7" s="100"/>
      <c r="BN7" s="100"/>
      <c r="BO7" s="50"/>
      <c r="BP7" s="100"/>
      <c r="BQ7" s="100"/>
      <c r="BR7" s="100"/>
      <c r="BS7" s="100"/>
      <c r="BT7" s="100"/>
      <c r="BU7" s="100" t="s">
        <v>139</v>
      </c>
      <c r="BV7" s="100"/>
      <c r="BW7" s="100"/>
      <c r="BX7" s="100"/>
      <c r="BY7" s="100"/>
      <c r="BZ7" s="100"/>
      <c r="CA7" s="100"/>
      <c r="CB7" s="102" t="s">
        <v>81</v>
      </c>
    </row>
    <row r="8" spans="2:80" ht="30.6" customHeight="1" x14ac:dyDescent="0.3">
      <c r="B8" s="4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00" t="s">
        <v>139</v>
      </c>
      <c r="O8" s="15"/>
      <c r="P8" s="15"/>
      <c r="Q8" s="15"/>
      <c r="R8" s="15"/>
      <c r="S8" s="15"/>
      <c r="T8" s="15" t="s">
        <v>31</v>
      </c>
      <c r="V8" s="101" t="s">
        <v>75</v>
      </c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 t="s">
        <v>139</v>
      </c>
      <c r="AJ8" s="100"/>
      <c r="AK8" s="100"/>
      <c r="AL8" s="100"/>
      <c r="AM8" s="100"/>
      <c r="AN8" s="102" t="s">
        <v>82</v>
      </c>
      <c r="AP8" s="101" t="str">
        <f t="shared" si="0"/>
        <v>Fleksibilitas dalam melakukan perubahan pesanan dan pembayaran</v>
      </c>
      <c r="AQ8" s="100"/>
      <c r="AR8" s="100"/>
      <c r="AS8" s="100"/>
      <c r="AT8" s="100"/>
      <c r="AU8" s="100"/>
      <c r="AV8" s="100"/>
      <c r="AW8" s="100" t="s">
        <v>139</v>
      </c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2" t="str">
        <f t="shared" si="1"/>
        <v>Pengalaman masa lalu</v>
      </c>
      <c r="BJ8" s="101" t="s">
        <v>75</v>
      </c>
      <c r="BK8" s="100"/>
      <c r="BL8" s="100"/>
      <c r="BM8" s="100"/>
      <c r="BN8" s="100"/>
      <c r="BO8" s="100" t="s">
        <v>139</v>
      </c>
      <c r="BP8" s="100"/>
      <c r="BQ8" s="5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2" t="s">
        <v>82</v>
      </c>
    </row>
    <row r="9" spans="2:80" ht="30.6" customHeight="1" x14ac:dyDescent="0.3">
      <c r="B9" s="44" t="s">
        <v>28</v>
      </c>
      <c r="C9" s="15"/>
      <c r="D9" s="15"/>
      <c r="E9" s="15"/>
      <c r="F9" s="100" t="s">
        <v>139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 t="s">
        <v>30</v>
      </c>
      <c r="V9" s="101" t="s">
        <v>76</v>
      </c>
      <c r="W9" s="100"/>
      <c r="X9" s="100"/>
      <c r="Y9" s="100"/>
      <c r="Z9" s="100"/>
      <c r="AA9" s="100"/>
      <c r="AB9" s="100"/>
      <c r="AC9" s="100" t="s">
        <v>139</v>
      </c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2" t="s">
        <v>78</v>
      </c>
      <c r="AP9" s="101" t="str">
        <f t="shared" si="0"/>
        <v>Kemampuan mengelola risiko terkait dengan produk berkualitas rendah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 t="s">
        <v>139</v>
      </c>
      <c r="BC9" s="100"/>
      <c r="BD9" s="100"/>
      <c r="BE9" s="100"/>
      <c r="BF9" s="100"/>
      <c r="BG9" s="100"/>
      <c r="BH9" s="102" t="str">
        <f t="shared" si="1"/>
        <v>Reputasi dan posisi vendor dalam pasar</v>
      </c>
      <c r="BJ9" s="101" t="s">
        <v>76</v>
      </c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 t="s">
        <v>139</v>
      </c>
      <c r="BV9" s="50"/>
      <c r="BW9" s="100"/>
      <c r="BX9" s="100"/>
      <c r="BY9" s="100"/>
      <c r="BZ9" s="100"/>
      <c r="CA9" s="100"/>
      <c r="CB9" s="102" t="s">
        <v>78</v>
      </c>
    </row>
    <row r="10" spans="2:80" ht="30.6" customHeight="1" x14ac:dyDescent="0.3">
      <c r="B10" s="44"/>
      <c r="C10" s="15"/>
      <c r="D10" s="15"/>
      <c r="E10" s="15"/>
      <c r="F10" s="15"/>
      <c r="G10" s="15"/>
      <c r="H10" s="15"/>
      <c r="I10" s="15"/>
      <c r="J10" s="100" t="s">
        <v>139</v>
      </c>
      <c r="K10" s="15"/>
      <c r="L10" s="15"/>
      <c r="M10" s="15"/>
      <c r="N10" s="15"/>
      <c r="O10" s="15"/>
      <c r="P10" s="15"/>
      <c r="Q10" s="15"/>
      <c r="R10" s="15"/>
      <c r="S10" s="15"/>
      <c r="T10" s="15" t="s">
        <v>29</v>
      </c>
      <c r="V10" s="101" t="s">
        <v>76</v>
      </c>
      <c r="W10" s="100"/>
      <c r="X10" s="100"/>
      <c r="Y10" s="100" t="s">
        <v>139</v>
      </c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2" t="s">
        <v>107</v>
      </c>
      <c r="AP10" s="101" t="str">
        <f t="shared" si="0"/>
        <v>Kemampuan mengelola risiko terkait dengan produk berkualitas rendah</v>
      </c>
      <c r="AQ10" s="100"/>
      <c r="AR10" s="100"/>
      <c r="AS10" s="100"/>
      <c r="AT10" s="100"/>
      <c r="AU10" s="100"/>
      <c r="AV10" s="100" t="s">
        <v>139</v>
      </c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2" t="str">
        <f t="shared" si="1"/>
        <v>Hubungan dengan vendor seperti: Komunikasi</v>
      </c>
      <c r="BJ10" s="101" t="s">
        <v>76</v>
      </c>
      <c r="BK10" s="100"/>
      <c r="BL10" s="100"/>
      <c r="BM10" s="100"/>
      <c r="BN10" s="100"/>
      <c r="BO10" s="100"/>
      <c r="BP10" s="50"/>
      <c r="BQ10" s="100"/>
      <c r="BR10" s="100"/>
      <c r="BS10" s="100"/>
      <c r="BT10" s="100"/>
      <c r="BU10" s="100" t="s">
        <v>139</v>
      </c>
      <c r="BV10" s="100"/>
      <c r="BW10" s="100"/>
      <c r="BX10" s="100"/>
      <c r="BY10" s="100"/>
      <c r="BZ10" s="100"/>
      <c r="CA10" s="100"/>
      <c r="CB10" s="102" t="s">
        <v>107</v>
      </c>
    </row>
    <row r="11" spans="2:80" ht="30.6" customHeight="1" x14ac:dyDescent="0.3">
      <c r="B11" s="44"/>
      <c r="C11" s="15"/>
      <c r="D11" s="100" t="s">
        <v>139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 t="s">
        <v>31</v>
      </c>
      <c r="V11" s="101" t="s">
        <v>76</v>
      </c>
      <c r="W11" s="100"/>
      <c r="X11" s="100"/>
      <c r="Y11" s="100"/>
      <c r="Z11" s="100"/>
      <c r="AA11" s="100"/>
      <c r="AB11" s="100"/>
      <c r="AC11" s="100"/>
      <c r="AD11" s="100"/>
      <c r="AE11" s="100" t="s">
        <v>139</v>
      </c>
      <c r="AF11" s="100"/>
      <c r="AG11" s="100"/>
      <c r="AH11" s="100"/>
      <c r="AI11" s="100"/>
      <c r="AJ11" s="100"/>
      <c r="AK11" s="100"/>
      <c r="AL11" s="100"/>
      <c r="AM11" s="100"/>
      <c r="AN11" s="102" t="s">
        <v>81</v>
      </c>
      <c r="AP11" s="101" t="str">
        <f t="shared" si="0"/>
        <v>Kemampuan mengelola risiko terkait dengan produk berkualitas rendah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 t="s">
        <v>139</v>
      </c>
      <c r="BD11" s="100"/>
      <c r="BE11" s="100"/>
      <c r="BF11" s="100"/>
      <c r="BG11" s="100"/>
      <c r="BH11" s="102" t="str">
        <f t="shared" si="1"/>
        <v>Dedikasi dan kepercayaan</v>
      </c>
      <c r="BJ11" s="101" t="s">
        <v>76</v>
      </c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 t="s">
        <v>139</v>
      </c>
      <c r="BX11" s="50"/>
      <c r="BY11" s="100"/>
      <c r="BZ11" s="100"/>
      <c r="CA11" s="100"/>
      <c r="CB11" s="102" t="s">
        <v>81</v>
      </c>
    </row>
    <row r="12" spans="2:80" ht="30.6" customHeight="1" x14ac:dyDescent="0.3">
      <c r="B12" s="44" t="s">
        <v>30</v>
      </c>
      <c r="C12" s="15"/>
      <c r="D12" s="15"/>
      <c r="E12" s="15"/>
      <c r="F12" s="15"/>
      <c r="G12" s="15"/>
      <c r="H12" s="100" t="s">
        <v>139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 t="s">
        <v>29</v>
      </c>
      <c r="V12" s="101" t="s">
        <v>108</v>
      </c>
      <c r="W12" s="100"/>
      <c r="X12" s="100"/>
      <c r="Y12" s="100" t="s">
        <v>139</v>
      </c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2" t="s">
        <v>82</v>
      </c>
      <c r="AP12" s="101" t="str">
        <f t="shared" si="0"/>
        <v xml:space="preserve">Kemampuan mengelola risiko terkait dengan produk berkualitas rendah </v>
      </c>
      <c r="AQ12" s="100"/>
      <c r="AR12" s="100"/>
      <c r="AS12" s="100" t="s">
        <v>139</v>
      </c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2" t="str">
        <f t="shared" si="1"/>
        <v>Pengalaman masa lalu</v>
      </c>
      <c r="BJ12" s="101" t="s">
        <v>108</v>
      </c>
      <c r="BK12" s="100"/>
      <c r="BL12" s="100"/>
      <c r="BM12" s="50"/>
      <c r="BN12" s="100"/>
      <c r="BO12" s="100" t="s">
        <v>139</v>
      </c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2" t="s">
        <v>82</v>
      </c>
    </row>
    <row r="13" spans="2:80" ht="30.6" customHeight="1" x14ac:dyDescent="0.3">
      <c r="B13" s="44"/>
      <c r="C13" s="15"/>
      <c r="D13" s="15"/>
      <c r="E13" s="15"/>
      <c r="F13" s="100" t="s">
        <v>139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 t="s">
        <v>31</v>
      </c>
      <c r="V13" s="104" t="s">
        <v>75</v>
      </c>
      <c r="W13" s="100"/>
      <c r="X13" s="100"/>
      <c r="Y13" s="100"/>
      <c r="Z13" s="100"/>
      <c r="AA13" s="100" t="s">
        <v>139</v>
      </c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2" t="s">
        <v>109</v>
      </c>
      <c r="AP13" s="101" t="str">
        <f t="shared" si="0"/>
        <v>Fleksibilitas dalam melakukan perubahan pesanan dan pembayaran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 t="s">
        <v>139</v>
      </c>
      <c r="BF13" s="100"/>
      <c r="BG13" s="100"/>
      <c r="BH13" s="102" t="str">
        <f t="shared" si="1"/>
        <v xml:space="preserve">Pengiriman barang sesuai dengan jadwal yang  ditetapkan </v>
      </c>
      <c r="BJ13" s="104" t="s">
        <v>75</v>
      </c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 t="s">
        <v>139</v>
      </c>
      <c r="BZ13" s="100"/>
      <c r="CA13" s="100"/>
      <c r="CB13" s="102" t="s">
        <v>109</v>
      </c>
    </row>
    <row r="14" spans="2:80" ht="30.6" customHeight="1" x14ac:dyDescent="0.3">
      <c r="B14" s="15" t="s">
        <v>29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00" t="s">
        <v>139</v>
      </c>
      <c r="R14" s="15"/>
      <c r="S14" s="15"/>
      <c r="T14" s="15" t="s">
        <v>31</v>
      </c>
      <c r="V14" s="104" t="s">
        <v>76</v>
      </c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 t="s">
        <v>139</v>
      </c>
      <c r="AJ14" s="100"/>
      <c r="AK14" s="100"/>
      <c r="AL14" s="100"/>
      <c r="AM14" s="100"/>
      <c r="AN14" s="103" t="s">
        <v>109</v>
      </c>
      <c r="AP14" s="101" t="str">
        <f t="shared" si="0"/>
        <v>Kemampuan mengelola risiko terkait dengan produk berkualitas rendah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 t="s">
        <v>139</v>
      </c>
      <c r="BH14" s="102" t="str">
        <f t="shared" si="1"/>
        <v xml:space="preserve">Pengiriman barang sesuai dengan jadwal yang  ditetapkan </v>
      </c>
      <c r="BJ14" s="104" t="s">
        <v>76</v>
      </c>
      <c r="BK14" s="100" t="s">
        <v>139</v>
      </c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50"/>
      <c r="CB14" s="103" t="s">
        <v>109</v>
      </c>
    </row>
    <row r="15" spans="2:80" ht="30.6" customHeight="1" x14ac:dyDescent="0.3">
      <c r="B15" s="106" t="s">
        <v>111</v>
      </c>
      <c r="C15" s="106"/>
      <c r="D15" s="106"/>
      <c r="E15" s="106"/>
      <c r="V15" s="104" t="s">
        <v>75</v>
      </c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 t="s">
        <v>139</v>
      </c>
      <c r="AN15" s="102" t="s">
        <v>86</v>
      </c>
      <c r="AP15" s="101" t="str">
        <f t="shared" si="0"/>
        <v>Fleksibilitas dalam melakukan perubahan pesanan dan pembayaran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 t="s">
        <v>139</v>
      </c>
      <c r="BH15" s="102" t="str">
        <f t="shared" si="1"/>
        <v>Kesesuaian kualitas barang dengan harga yang ditawarkan</v>
      </c>
      <c r="BJ15" s="104" t="s">
        <v>75</v>
      </c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 t="s">
        <v>139</v>
      </c>
      <c r="BZ15" s="100"/>
      <c r="CA15" s="50"/>
      <c r="CB15" s="102" t="s">
        <v>86</v>
      </c>
    </row>
    <row r="16" spans="2:80" ht="30.6" customHeight="1" x14ac:dyDescent="0.3">
      <c r="B16" s="25" t="s">
        <v>32</v>
      </c>
      <c r="C16" s="46" t="s">
        <v>33</v>
      </c>
      <c r="D16" s="46"/>
      <c r="E16" s="46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14" t="s">
        <v>32</v>
      </c>
      <c r="V16" s="104" t="s">
        <v>76</v>
      </c>
      <c r="W16" s="100"/>
      <c r="X16" s="100"/>
      <c r="Y16" s="100"/>
      <c r="Z16" s="100"/>
      <c r="AA16" s="100"/>
      <c r="AB16" s="100"/>
      <c r="AC16" s="100"/>
      <c r="AD16" s="100"/>
      <c r="AE16" s="100" t="s">
        <v>139</v>
      </c>
      <c r="AF16" s="100"/>
      <c r="AG16" s="100"/>
      <c r="AH16" s="100"/>
      <c r="AI16" s="100"/>
      <c r="AJ16" s="100"/>
      <c r="AK16" s="100"/>
      <c r="AL16" s="100"/>
      <c r="AM16" s="100"/>
      <c r="AN16" s="103" t="s">
        <v>86</v>
      </c>
      <c r="AP16" s="101" t="str">
        <f t="shared" si="0"/>
        <v>Kemampuan mengelola risiko terkait dengan produk berkualitas rendah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 t="s">
        <v>139</v>
      </c>
      <c r="BB16" s="100"/>
      <c r="BC16" s="100"/>
      <c r="BD16" s="100"/>
      <c r="BE16" s="100"/>
      <c r="BF16" s="100"/>
      <c r="BG16" s="100"/>
      <c r="BH16" s="102" t="str">
        <f t="shared" si="1"/>
        <v>Kesesuaian kualitas barang dengan harga yang ditawarkan</v>
      </c>
      <c r="BJ16" s="104" t="s">
        <v>76</v>
      </c>
      <c r="BK16" s="100"/>
      <c r="BL16" s="100"/>
      <c r="BM16" s="100"/>
      <c r="BN16" s="100"/>
      <c r="BO16" s="100"/>
      <c r="BP16" s="100"/>
      <c r="BQ16" s="100"/>
      <c r="BR16" s="100"/>
      <c r="BS16" s="100" t="s">
        <v>139</v>
      </c>
      <c r="BT16" s="100"/>
      <c r="BU16" s="50"/>
      <c r="BV16" s="100"/>
      <c r="BW16" s="100"/>
      <c r="BX16" s="100"/>
      <c r="BY16" s="100"/>
      <c r="BZ16" s="100"/>
      <c r="CA16" s="100"/>
      <c r="CB16" s="103" t="s">
        <v>86</v>
      </c>
    </row>
    <row r="17" spans="2:80" ht="30.6" customHeight="1" x14ac:dyDescent="0.3">
      <c r="B17" s="44" t="s">
        <v>27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00" t="s">
        <v>139</v>
      </c>
      <c r="P17" s="15"/>
      <c r="Q17" s="15"/>
      <c r="R17" s="15"/>
      <c r="S17" s="15"/>
      <c r="T17" s="15" t="s">
        <v>28</v>
      </c>
      <c r="V17" s="104" t="s">
        <v>75</v>
      </c>
      <c r="W17" s="100"/>
      <c r="X17" s="100"/>
      <c r="Y17" s="100"/>
      <c r="Z17" s="100"/>
      <c r="AA17" s="100"/>
      <c r="AB17" s="100"/>
      <c r="AC17" s="100"/>
      <c r="AD17" s="100"/>
      <c r="AE17" s="100" t="s">
        <v>139</v>
      </c>
      <c r="AF17" s="100"/>
      <c r="AG17" s="100"/>
      <c r="AH17" s="100"/>
      <c r="AI17" s="100"/>
      <c r="AJ17" s="100"/>
      <c r="AK17" s="100"/>
      <c r="AL17" s="100"/>
      <c r="AM17" s="100"/>
      <c r="AN17" s="102" t="s">
        <v>88</v>
      </c>
      <c r="AP17" s="101" t="str">
        <f t="shared" si="0"/>
        <v>Fleksibilitas dalam melakukan perubahan pesanan dan pembayaran</v>
      </c>
      <c r="AQ17" s="100"/>
      <c r="AR17" s="100"/>
      <c r="AS17" s="100"/>
      <c r="AT17" s="100"/>
      <c r="AU17" s="100" t="s">
        <v>139</v>
      </c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2" t="str">
        <f t="shared" si="1"/>
        <v>Kapasitas penyimpanan pemasok</v>
      </c>
      <c r="BJ17" s="104" t="s">
        <v>75</v>
      </c>
      <c r="BK17" s="100"/>
      <c r="BL17" s="100"/>
      <c r="BM17" s="100" t="s">
        <v>139</v>
      </c>
      <c r="BN17" s="100"/>
      <c r="BO17" s="5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2" t="s">
        <v>88</v>
      </c>
    </row>
    <row r="18" spans="2:80" ht="30.6" customHeight="1" x14ac:dyDescent="0.3">
      <c r="B18" s="44"/>
      <c r="C18" s="15"/>
      <c r="D18" s="15"/>
      <c r="E18" s="15"/>
      <c r="F18" s="15"/>
      <c r="G18" s="100" t="s">
        <v>139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 t="s">
        <v>30</v>
      </c>
      <c r="V18" s="104" t="s">
        <v>75</v>
      </c>
      <c r="W18" s="100"/>
      <c r="X18" s="100"/>
      <c r="Y18" s="100" t="s">
        <v>139</v>
      </c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3" t="s">
        <v>89</v>
      </c>
      <c r="AP18" s="101" t="str">
        <f t="shared" si="0"/>
        <v>Fleksibilitas dalam melakukan perubahan pesanan dan pembayaran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 t="s">
        <v>139</v>
      </c>
      <c r="BF18" s="100"/>
      <c r="BG18" s="100"/>
      <c r="BH18" s="102" t="str">
        <f t="shared" si="1"/>
        <v>Kemampuan penyediaan bahan baku oleh pemasok</v>
      </c>
      <c r="BJ18" s="104" t="s">
        <v>75</v>
      </c>
      <c r="BK18" s="100"/>
      <c r="BL18" s="100"/>
      <c r="BM18" s="100"/>
      <c r="BN18" s="100"/>
      <c r="BO18" s="100"/>
      <c r="BP18" s="100"/>
      <c r="BQ18" s="100"/>
      <c r="BR18" s="100"/>
      <c r="BS18" s="100" t="s">
        <v>139</v>
      </c>
      <c r="BT18" s="100"/>
      <c r="BU18" s="100"/>
      <c r="BV18" s="100"/>
      <c r="BW18" s="100"/>
      <c r="BX18" s="100"/>
      <c r="BY18" s="50"/>
      <c r="BZ18" s="100"/>
      <c r="CA18" s="100"/>
      <c r="CB18" s="103" t="s">
        <v>89</v>
      </c>
    </row>
    <row r="19" spans="2:80" ht="30.6" customHeight="1" x14ac:dyDescent="0.3">
      <c r="B19" s="44"/>
      <c r="C19" s="100" t="s">
        <v>139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 t="s">
        <v>29</v>
      </c>
      <c r="V19" s="104" t="s">
        <v>75</v>
      </c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 t="s">
        <v>139</v>
      </c>
      <c r="AH19" s="100"/>
      <c r="AI19" s="100"/>
      <c r="AJ19" s="100"/>
      <c r="AK19" s="100"/>
      <c r="AL19" s="100"/>
      <c r="AM19" s="100"/>
      <c r="AN19" s="102" t="s">
        <v>90</v>
      </c>
      <c r="AP19" s="101" t="str">
        <f t="shared" si="0"/>
        <v>Fleksibilitas dalam melakukan perubahan pesanan dan pembayaran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 t="s">
        <v>139</v>
      </c>
      <c r="BC19" s="100"/>
      <c r="BD19" s="100"/>
      <c r="BE19" s="100"/>
      <c r="BF19" s="100"/>
      <c r="BG19" s="100"/>
      <c r="BH19" s="102" t="str">
        <f t="shared" si="1"/>
        <v>Waktu tunggu pemasok tiap pemesanan</v>
      </c>
      <c r="BJ19" s="104" t="s">
        <v>75</v>
      </c>
      <c r="BK19" s="100"/>
      <c r="BL19" s="100"/>
      <c r="BM19" s="100"/>
      <c r="BN19" s="100"/>
      <c r="BO19" s="100"/>
      <c r="BP19" s="100"/>
      <c r="BQ19" s="100" t="s">
        <v>139</v>
      </c>
      <c r="BR19" s="100"/>
      <c r="BS19" s="50"/>
      <c r="BT19" s="100"/>
      <c r="BU19" s="100"/>
      <c r="BV19" s="50"/>
      <c r="BW19" s="100"/>
      <c r="BX19" s="100"/>
      <c r="BY19" s="100"/>
      <c r="BZ19" s="100"/>
      <c r="CA19" s="100"/>
      <c r="CB19" s="102" t="s">
        <v>90</v>
      </c>
    </row>
    <row r="20" spans="2:80" ht="30.6" customHeight="1" x14ac:dyDescent="0.3">
      <c r="B20" s="4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00" t="s">
        <v>139</v>
      </c>
      <c r="R20" s="15"/>
      <c r="S20" s="15"/>
      <c r="T20" s="15" t="s">
        <v>31</v>
      </c>
      <c r="V20" s="104" t="s">
        <v>75</v>
      </c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 t="s">
        <v>139</v>
      </c>
      <c r="AL20" s="100"/>
      <c r="AM20" s="100"/>
      <c r="AN20" s="102" t="s">
        <v>91</v>
      </c>
      <c r="AP20" s="101" t="str">
        <f t="shared" si="0"/>
        <v>Fleksibilitas dalam melakukan perubahan pesanan dan pembayaran</v>
      </c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 t="s">
        <v>139</v>
      </c>
      <c r="BH20" s="102" t="str">
        <f t="shared" si="1"/>
        <v>Kemungkinan produk rusak atau cacat</v>
      </c>
      <c r="BJ20" s="104" t="s">
        <v>75</v>
      </c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 t="s">
        <v>139</v>
      </c>
      <c r="CB20" s="102" t="s">
        <v>91</v>
      </c>
    </row>
    <row r="21" spans="2:80" ht="30.6" customHeight="1" x14ac:dyDescent="0.3">
      <c r="B21" s="44" t="s">
        <v>28</v>
      </c>
      <c r="C21" s="15"/>
      <c r="D21" s="15"/>
      <c r="E21" s="15"/>
      <c r="F21" s="15"/>
      <c r="G21" s="15"/>
      <c r="H21" s="100" t="s">
        <v>139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 t="s">
        <v>30</v>
      </c>
      <c r="V21" s="104" t="s">
        <v>76</v>
      </c>
      <c r="W21" s="100"/>
      <c r="X21" s="100"/>
      <c r="Y21" s="100" t="s">
        <v>139</v>
      </c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2" t="s">
        <v>88</v>
      </c>
      <c r="AP21" s="101" t="str">
        <f t="shared" si="0"/>
        <v>Kemampuan mengelola risiko terkait dengan produk berkualitas rendah</v>
      </c>
      <c r="AQ21" s="100"/>
      <c r="AR21" s="100"/>
      <c r="AS21" s="100" t="s">
        <v>139</v>
      </c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2" t="str">
        <f t="shared" si="1"/>
        <v>Kapasitas penyimpanan pemasok</v>
      </c>
      <c r="BJ21" s="104" t="s">
        <v>76</v>
      </c>
      <c r="BK21" s="100"/>
      <c r="BL21" s="100"/>
      <c r="BM21" s="100" t="s">
        <v>139</v>
      </c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2" t="s">
        <v>88</v>
      </c>
    </row>
    <row r="22" spans="2:80" ht="30.6" customHeight="1" x14ac:dyDescent="0.3">
      <c r="B22" s="44"/>
      <c r="C22" s="15"/>
      <c r="D22" s="100" t="s">
        <v>139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 t="s">
        <v>29</v>
      </c>
      <c r="V22" s="104" t="s">
        <v>76</v>
      </c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 t="s">
        <v>139</v>
      </c>
      <c r="AN22" s="103" t="s">
        <v>89</v>
      </c>
      <c r="AP22" s="101" t="str">
        <f t="shared" si="0"/>
        <v>Kemampuan mengelola risiko terkait dengan produk berkualitas rendah</v>
      </c>
      <c r="AQ22" s="100"/>
      <c r="AR22" s="100"/>
      <c r="AS22" s="100"/>
      <c r="AT22" s="100"/>
      <c r="AU22" s="100"/>
      <c r="AV22" s="100"/>
      <c r="AW22" s="100"/>
      <c r="AX22" s="100"/>
      <c r="AY22" s="100" t="s">
        <v>139</v>
      </c>
      <c r="AZ22" s="100"/>
      <c r="BA22" s="100"/>
      <c r="BB22" s="100"/>
      <c r="BC22" s="100"/>
      <c r="BD22" s="100"/>
      <c r="BE22" s="100"/>
      <c r="BF22" s="100"/>
      <c r="BG22" s="100"/>
      <c r="BH22" s="102" t="str">
        <f t="shared" si="1"/>
        <v>Kemampuan penyediaan bahan baku oleh pemasok</v>
      </c>
      <c r="BJ22" s="104" t="s">
        <v>76</v>
      </c>
      <c r="BK22" s="100"/>
      <c r="BL22" s="100"/>
      <c r="BM22" s="100"/>
      <c r="BN22" s="100"/>
      <c r="BO22" s="100"/>
      <c r="BP22" s="100"/>
      <c r="BQ22" s="100"/>
      <c r="BR22" s="100"/>
      <c r="BS22" s="100" t="s">
        <v>139</v>
      </c>
      <c r="BT22" s="100"/>
      <c r="BU22" s="100"/>
      <c r="BV22" s="100"/>
      <c r="BW22" s="100"/>
      <c r="BX22" s="100"/>
      <c r="BY22" s="100"/>
      <c r="BZ22" s="100"/>
      <c r="CA22" s="100"/>
      <c r="CB22" s="103" t="s">
        <v>89</v>
      </c>
    </row>
    <row r="23" spans="2:80" ht="30.6" customHeight="1" x14ac:dyDescent="0.3">
      <c r="B23" s="44"/>
      <c r="C23" s="15"/>
      <c r="D23" s="15"/>
      <c r="E23" s="15"/>
      <c r="F23" s="15"/>
      <c r="G23" s="15"/>
      <c r="H23" s="15"/>
      <c r="I23" s="15"/>
      <c r="J23" s="15"/>
      <c r="K23" s="100" t="s">
        <v>139</v>
      </c>
      <c r="L23" s="15"/>
      <c r="M23" s="15"/>
      <c r="N23" s="15"/>
      <c r="O23" s="15"/>
      <c r="P23" s="15"/>
      <c r="Q23" s="15"/>
      <c r="R23" s="15"/>
      <c r="S23" s="15"/>
      <c r="T23" s="15" t="s">
        <v>31</v>
      </c>
      <c r="V23" s="104" t="s">
        <v>76</v>
      </c>
      <c r="W23" s="100"/>
      <c r="X23" s="100"/>
      <c r="Y23" s="100" t="s">
        <v>139</v>
      </c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2" t="s">
        <v>90</v>
      </c>
      <c r="AP23" s="101" t="str">
        <f t="shared" si="0"/>
        <v>Kemampuan mengelola risiko terkait dengan produk berkualitas rendah</v>
      </c>
      <c r="AQ23" s="100"/>
      <c r="AR23" s="100"/>
      <c r="AS23" s="100" t="s">
        <v>139</v>
      </c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2" t="str">
        <f t="shared" si="1"/>
        <v>Waktu tunggu pemasok tiap pemesanan</v>
      </c>
      <c r="BJ23" s="104" t="s">
        <v>76</v>
      </c>
      <c r="BK23" s="100"/>
      <c r="BL23" s="100"/>
      <c r="BM23" s="100" t="s">
        <v>139</v>
      </c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2" t="s">
        <v>90</v>
      </c>
    </row>
    <row r="24" spans="2:80" ht="30.6" customHeight="1" x14ac:dyDescent="0.3">
      <c r="B24" s="44" t="s">
        <v>30</v>
      </c>
      <c r="C24" s="15"/>
      <c r="D24" s="15"/>
      <c r="E24" s="15"/>
      <c r="F24" s="100" t="s">
        <v>139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 t="s">
        <v>29</v>
      </c>
      <c r="V24" s="104" t="s">
        <v>76</v>
      </c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 t="s">
        <v>139</v>
      </c>
      <c r="AK24" s="100"/>
      <c r="AL24" s="100"/>
      <c r="AM24" s="100"/>
      <c r="AN24" s="102" t="s">
        <v>91</v>
      </c>
      <c r="AP24" s="101" t="str">
        <f t="shared" si="0"/>
        <v>Kemampuan mengelola risiko terkait dengan produk berkualitas rendah</v>
      </c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 t="s">
        <v>139</v>
      </c>
      <c r="BE24" s="100"/>
      <c r="BF24" s="100"/>
      <c r="BG24" s="100"/>
      <c r="BH24" s="102" t="str">
        <f t="shared" si="1"/>
        <v>Kemungkinan produk rusak atau cacat</v>
      </c>
      <c r="BJ24" s="104" t="s">
        <v>76</v>
      </c>
      <c r="BK24" s="100"/>
      <c r="BL24" s="100"/>
      <c r="BM24" s="100"/>
      <c r="BN24" s="100"/>
      <c r="BO24" s="100"/>
      <c r="BP24" s="100"/>
      <c r="BQ24" s="100"/>
      <c r="BR24" s="100"/>
      <c r="BS24" s="100" t="s">
        <v>139</v>
      </c>
      <c r="BT24" s="100"/>
      <c r="BU24" s="100"/>
      <c r="BV24" s="100"/>
      <c r="BW24" s="100"/>
      <c r="BX24" s="50"/>
      <c r="BY24" s="100"/>
      <c r="BZ24" s="100"/>
      <c r="CA24" s="100"/>
      <c r="CB24" s="102" t="s">
        <v>91</v>
      </c>
    </row>
    <row r="25" spans="2:80" ht="30.6" customHeight="1" x14ac:dyDescent="0.3">
      <c r="B25" s="44"/>
      <c r="C25" s="15"/>
      <c r="D25" s="15"/>
      <c r="E25" s="15"/>
      <c r="F25" s="15"/>
      <c r="G25" s="15"/>
      <c r="H25" s="100" t="s">
        <v>139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 t="s">
        <v>31</v>
      </c>
      <c r="V25" s="101" t="s">
        <v>78</v>
      </c>
      <c r="W25" s="100"/>
      <c r="X25" s="100"/>
      <c r="Y25" s="100" t="s">
        <v>139</v>
      </c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2" t="s">
        <v>109</v>
      </c>
      <c r="AP25" s="101" t="str">
        <f t="shared" si="0"/>
        <v>Reputasi dan posisi vendor dalam pasar</v>
      </c>
      <c r="AQ25" s="100"/>
      <c r="AR25" s="100"/>
      <c r="AS25" s="100" t="s">
        <v>139</v>
      </c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2" t="str">
        <f t="shared" si="1"/>
        <v xml:space="preserve">Pengiriman barang sesuai dengan jadwal yang  ditetapkan </v>
      </c>
      <c r="BJ25" s="101" t="s">
        <v>78</v>
      </c>
      <c r="BK25" s="100"/>
      <c r="BL25" s="100"/>
      <c r="BM25" s="50"/>
      <c r="BN25" s="100"/>
      <c r="BO25" s="100"/>
      <c r="BP25" s="100"/>
      <c r="BQ25" s="50"/>
      <c r="BR25" s="100"/>
      <c r="BS25" s="100" t="s">
        <v>139</v>
      </c>
      <c r="BT25" s="100"/>
      <c r="BU25" s="100"/>
      <c r="BV25" s="100"/>
      <c r="BW25" s="100"/>
      <c r="BX25" s="100"/>
      <c r="BY25" s="100"/>
      <c r="BZ25" s="100"/>
      <c r="CA25" s="100"/>
      <c r="CB25" s="102" t="s">
        <v>109</v>
      </c>
    </row>
    <row r="26" spans="2:80" ht="30.6" customHeight="1" x14ac:dyDescent="0.3">
      <c r="B26" s="15" t="s">
        <v>29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00" t="s">
        <v>139</v>
      </c>
      <c r="Q26" s="15"/>
      <c r="R26" s="15"/>
      <c r="S26" s="15"/>
      <c r="T26" s="15" t="s">
        <v>31</v>
      </c>
      <c r="V26" s="101" t="s">
        <v>107</v>
      </c>
      <c r="W26" s="100" t="s">
        <v>139</v>
      </c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2" t="s">
        <v>109</v>
      </c>
      <c r="AP26" s="101" t="str">
        <f t="shared" si="0"/>
        <v>Hubungan dengan vendor seperti: Komunikasi</v>
      </c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 t="s">
        <v>139</v>
      </c>
      <c r="BD26" s="100"/>
      <c r="BE26" s="100"/>
      <c r="BF26" s="100"/>
      <c r="BG26" s="100"/>
      <c r="BH26" s="102" t="str">
        <f t="shared" si="1"/>
        <v xml:space="preserve">Pengiriman barang sesuai dengan jadwal yang  ditetapkan </v>
      </c>
      <c r="BJ26" s="101" t="s">
        <v>107</v>
      </c>
      <c r="BK26" s="50"/>
      <c r="BL26" s="100"/>
      <c r="BM26" s="100" t="s">
        <v>139</v>
      </c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2" t="s">
        <v>109</v>
      </c>
    </row>
    <row r="27" spans="2:80" ht="30.6" customHeight="1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V27" s="101" t="s">
        <v>81</v>
      </c>
      <c r="W27" s="100"/>
      <c r="X27" s="100"/>
      <c r="Y27" s="100"/>
      <c r="Z27" s="100" t="s">
        <v>139</v>
      </c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2" t="s">
        <v>109</v>
      </c>
      <c r="AP27" s="101" t="str">
        <f t="shared" si="0"/>
        <v>Dedikasi dan kepercayaan</v>
      </c>
      <c r="AQ27" s="100"/>
      <c r="AR27" s="100"/>
      <c r="AS27" s="100"/>
      <c r="AT27" s="100" t="s">
        <v>139</v>
      </c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2" t="str">
        <f t="shared" si="1"/>
        <v xml:space="preserve">Pengiriman barang sesuai dengan jadwal yang  ditetapkan </v>
      </c>
      <c r="BJ27" s="101" t="s">
        <v>81</v>
      </c>
      <c r="BK27" s="100"/>
      <c r="BL27" s="100"/>
      <c r="BM27" s="100"/>
      <c r="BN27" s="50"/>
      <c r="BO27" s="100"/>
      <c r="BP27" s="100" t="s">
        <v>139</v>
      </c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2" t="s">
        <v>109</v>
      </c>
    </row>
    <row r="28" spans="2:80" ht="30.6" customHeight="1" x14ac:dyDescent="0.3">
      <c r="B28" s="106" t="s">
        <v>113</v>
      </c>
      <c r="C28" s="106"/>
      <c r="D28" s="106"/>
      <c r="E28" s="106"/>
      <c r="V28" s="101" t="s">
        <v>82</v>
      </c>
      <c r="W28" s="100"/>
      <c r="X28" s="100"/>
      <c r="Y28" s="100"/>
      <c r="Z28" s="100"/>
      <c r="AA28" s="100"/>
      <c r="AB28" s="100"/>
      <c r="AC28" s="100"/>
      <c r="AD28" s="100"/>
      <c r="AE28" s="100" t="s">
        <v>139</v>
      </c>
      <c r="AF28" s="100"/>
      <c r="AG28" s="100"/>
      <c r="AH28" s="100"/>
      <c r="AI28" s="100"/>
      <c r="AJ28" s="100"/>
      <c r="AK28" s="100"/>
      <c r="AL28" s="100"/>
      <c r="AM28" s="100"/>
      <c r="AN28" s="102" t="s">
        <v>109</v>
      </c>
      <c r="AP28" s="101" t="str">
        <f t="shared" si="0"/>
        <v>Pengalaman masa lalu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 t="s">
        <v>139</v>
      </c>
      <c r="BD28" s="100"/>
      <c r="BE28" s="100"/>
      <c r="BF28" s="100"/>
      <c r="BG28" s="100"/>
      <c r="BH28" s="102" t="str">
        <f t="shared" si="1"/>
        <v xml:space="preserve">Pengiriman barang sesuai dengan jadwal yang  ditetapkan </v>
      </c>
      <c r="BJ28" s="101" t="s">
        <v>82</v>
      </c>
      <c r="BK28" s="100"/>
      <c r="BL28" s="100"/>
      <c r="BM28" s="100"/>
      <c r="BN28" s="100"/>
      <c r="BO28" s="100"/>
      <c r="BP28" s="100"/>
      <c r="BQ28" s="50"/>
      <c r="BR28" s="100" t="s">
        <v>139</v>
      </c>
      <c r="BS28" s="50"/>
      <c r="BT28" s="100"/>
      <c r="BU28" s="100"/>
      <c r="BV28" s="100"/>
      <c r="BW28" s="100"/>
      <c r="BX28" s="100"/>
      <c r="BY28" s="100"/>
      <c r="BZ28" s="100"/>
      <c r="CA28" s="100"/>
      <c r="CB28" s="102" t="s">
        <v>109</v>
      </c>
    </row>
    <row r="29" spans="2:80" ht="30.6" customHeight="1" x14ac:dyDescent="0.3">
      <c r="B29" s="14" t="s">
        <v>32</v>
      </c>
      <c r="C29" s="45" t="s">
        <v>33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14" t="s">
        <v>32</v>
      </c>
      <c r="V29" s="101" t="s">
        <v>78</v>
      </c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 t="s">
        <v>139</v>
      </c>
      <c r="AL29" s="100"/>
      <c r="AM29" s="100"/>
      <c r="AN29" s="102" t="s">
        <v>86</v>
      </c>
      <c r="AP29" s="101" t="str">
        <f t="shared" si="0"/>
        <v>Reputasi dan posisi vendor dalam pasar</v>
      </c>
      <c r="AQ29" s="100"/>
      <c r="AR29" s="100"/>
      <c r="AS29" s="100"/>
      <c r="AT29" s="100"/>
      <c r="AU29" s="100"/>
      <c r="AV29" s="100"/>
      <c r="AW29" s="100"/>
      <c r="AX29" s="100"/>
      <c r="AY29" s="100" t="s">
        <v>139</v>
      </c>
      <c r="AZ29" s="100"/>
      <c r="BA29" s="100"/>
      <c r="BB29" s="100"/>
      <c r="BC29" s="100"/>
      <c r="BD29" s="100"/>
      <c r="BE29" s="100"/>
      <c r="BF29" s="100"/>
      <c r="BG29" s="100"/>
      <c r="BH29" s="102" t="str">
        <f t="shared" si="1"/>
        <v>Kesesuaian kualitas barang dengan harga yang ditawarkan</v>
      </c>
      <c r="BJ29" s="101" t="s">
        <v>78</v>
      </c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 t="s">
        <v>139</v>
      </c>
      <c r="BX29" s="100"/>
      <c r="BY29" s="50"/>
      <c r="BZ29" s="100"/>
      <c r="CA29" s="100"/>
      <c r="CB29" s="102" t="s">
        <v>86</v>
      </c>
    </row>
    <row r="30" spans="2:80" ht="30.6" customHeight="1" x14ac:dyDescent="0.3">
      <c r="B30" s="44" t="s">
        <v>27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00" t="s">
        <v>139</v>
      </c>
      <c r="T30" s="15" t="s">
        <v>28</v>
      </c>
      <c r="V30" s="101" t="s">
        <v>107</v>
      </c>
      <c r="W30" s="100"/>
      <c r="X30" s="100"/>
      <c r="Y30" s="100"/>
      <c r="Z30" s="100"/>
      <c r="AA30" s="100"/>
      <c r="AB30" s="100"/>
      <c r="AC30" s="100"/>
      <c r="AD30" s="100"/>
      <c r="AE30" s="100" t="s">
        <v>139</v>
      </c>
      <c r="AF30" s="100"/>
      <c r="AG30" s="100"/>
      <c r="AH30" s="100"/>
      <c r="AI30" s="100"/>
      <c r="AJ30" s="100"/>
      <c r="AK30" s="100"/>
      <c r="AL30" s="100"/>
      <c r="AM30" s="100"/>
      <c r="AN30" s="102" t="s">
        <v>86</v>
      </c>
      <c r="AP30" s="101" t="str">
        <f t="shared" si="0"/>
        <v>Hubungan dengan vendor seperti: Komunikasi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 t="s">
        <v>139</v>
      </c>
      <c r="BC30" s="100"/>
      <c r="BD30" s="100"/>
      <c r="BE30" s="100"/>
      <c r="BF30" s="100"/>
      <c r="BG30" s="100"/>
      <c r="BH30" s="102" t="str">
        <f t="shared" si="1"/>
        <v>Kesesuaian kualitas barang dengan harga yang ditawarkan</v>
      </c>
      <c r="BJ30" s="101" t="s">
        <v>107</v>
      </c>
      <c r="BK30" s="100"/>
      <c r="BL30" s="100"/>
      <c r="BM30" s="100"/>
      <c r="BN30" s="100"/>
      <c r="BO30" s="100"/>
      <c r="BP30" s="100"/>
      <c r="BQ30" s="100"/>
      <c r="BR30" s="100"/>
      <c r="BS30" s="100" t="s">
        <v>139</v>
      </c>
      <c r="BT30" s="100"/>
      <c r="BU30" s="100"/>
      <c r="BV30" s="100"/>
      <c r="BW30" s="100"/>
      <c r="BX30" s="100"/>
      <c r="BY30" s="100"/>
      <c r="BZ30" s="100"/>
      <c r="CA30" s="100"/>
      <c r="CB30" s="102" t="s">
        <v>86</v>
      </c>
    </row>
    <row r="31" spans="2:80" ht="30.6" customHeight="1" x14ac:dyDescent="0.3">
      <c r="B31" s="4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00" t="s">
        <v>139</v>
      </c>
      <c r="Q31" s="15"/>
      <c r="R31" s="15"/>
      <c r="S31" s="15"/>
      <c r="T31" s="15" t="s">
        <v>30</v>
      </c>
      <c r="V31" s="101" t="s">
        <v>81</v>
      </c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 t="s">
        <v>139</v>
      </c>
      <c r="AL31" s="100"/>
      <c r="AM31" s="100"/>
      <c r="AN31" s="102" t="s">
        <v>86</v>
      </c>
      <c r="AP31" s="101" t="str">
        <f t="shared" si="0"/>
        <v>Dedikasi dan kepercayaan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 t="s">
        <v>139</v>
      </c>
      <c r="BH31" s="102" t="str">
        <f t="shared" si="1"/>
        <v>Kesesuaian kualitas barang dengan harga yang ditawarkan</v>
      </c>
      <c r="BJ31" s="101" t="s">
        <v>81</v>
      </c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 t="s">
        <v>139</v>
      </c>
      <c r="BX31" s="100"/>
      <c r="BY31" s="50"/>
      <c r="BZ31" s="100"/>
      <c r="CA31" s="100"/>
      <c r="CB31" s="102" t="s">
        <v>86</v>
      </c>
    </row>
    <row r="32" spans="2:80" ht="30.6" customHeight="1" x14ac:dyDescent="0.3">
      <c r="B32" s="44"/>
      <c r="C32" s="15"/>
      <c r="D32" s="15"/>
      <c r="E32" s="15"/>
      <c r="F32" s="100" t="s">
        <v>139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 t="s">
        <v>29</v>
      </c>
      <c r="V32" s="101" t="s">
        <v>82</v>
      </c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 t="s">
        <v>139</v>
      </c>
      <c r="AL32" s="100"/>
      <c r="AM32" s="100"/>
      <c r="AN32" s="102" t="s">
        <v>86</v>
      </c>
      <c r="AP32" s="101" t="str">
        <f t="shared" si="0"/>
        <v>Pengalaman masa lalu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 t="s">
        <v>139</v>
      </c>
      <c r="BH32" s="102" t="str">
        <f t="shared" si="1"/>
        <v>Kesesuaian kualitas barang dengan harga yang ditawarkan</v>
      </c>
      <c r="BJ32" s="101" t="s">
        <v>82</v>
      </c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50"/>
      <c r="BZ32" s="100"/>
      <c r="CA32" s="100" t="s">
        <v>139</v>
      </c>
      <c r="CB32" s="102" t="s">
        <v>86</v>
      </c>
    </row>
    <row r="33" spans="2:80" ht="30.6" customHeight="1" x14ac:dyDescent="0.3">
      <c r="B33" s="4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00" t="s">
        <v>139</v>
      </c>
      <c r="Q33" s="15"/>
      <c r="R33" s="15"/>
      <c r="S33" s="15"/>
      <c r="T33" s="15" t="s">
        <v>31</v>
      </c>
      <c r="V33" s="104" t="s">
        <v>78</v>
      </c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 t="s">
        <v>139</v>
      </c>
      <c r="AL33" s="100"/>
      <c r="AM33" s="100"/>
      <c r="AN33" s="102" t="s">
        <v>88</v>
      </c>
      <c r="AP33" s="101" t="str">
        <f t="shared" si="0"/>
        <v>Reputasi dan posisi vendor dalam pasar</v>
      </c>
      <c r="AQ33" s="100"/>
      <c r="AR33" s="100"/>
      <c r="AS33" s="100"/>
      <c r="AT33" s="100"/>
      <c r="AU33" s="100"/>
      <c r="AV33" s="100"/>
      <c r="AW33" s="100"/>
      <c r="AX33" s="100"/>
      <c r="AY33" s="100" t="s">
        <v>139</v>
      </c>
      <c r="AZ33" s="100"/>
      <c r="BA33" s="100"/>
      <c r="BB33" s="100"/>
      <c r="BC33" s="100"/>
      <c r="BD33" s="100"/>
      <c r="BE33" s="100"/>
      <c r="BF33" s="100"/>
      <c r="BG33" s="100"/>
      <c r="BH33" s="102" t="str">
        <f t="shared" si="1"/>
        <v>Kapasitas penyimpanan pemasok</v>
      </c>
      <c r="BJ33" s="104" t="s">
        <v>78</v>
      </c>
      <c r="BK33" s="100"/>
      <c r="BL33" s="100"/>
      <c r="BM33" s="100" t="s">
        <v>139</v>
      </c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50"/>
      <c r="BZ33" s="100"/>
      <c r="CA33" s="100"/>
      <c r="CB33" s="102" t="s">
        <v>88</v>
      </c>
    </row>
    <row r="34" spans="2:80" ht="30.6" customHeight="1" x14ac:dyDescent="0.3">
      <c r="B34" s="44" t="s">
        <v>28</v>
      </c>
      <c r="C34" s="15"/>
      <c r="D34" s="15"/>
      <c r="E34" s="15"/>
      <c r="F34" s="15"/>
      <c r="G34" s="15"/>
      <c r="H34" s="15"/>
      <c r="I34" s="100" t="s">
        <v>139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 t="s">
        <v>30</v>
      </c>
      <c r="V34" s="104" t="s">
        <v>78</v>
      </c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 t="s">
        <v>139</v>
      </c>
      <c r="AJ34" s="100"/>
      <c r="AK34" s="100"/>
      <c r="AL34" s="100"/>
      <c r="AM34" s="100"/>
      <c r="AN34" s="103" t="s">
        <v>89</v>
      </c>
      <c r="AP34" s="101" t="str">
        <f t="shared" si="0"/>
        <v>Reputasi dan posisi vendor dalam pasar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 t="s">
        <v>139</v>
      </c>
      <c r="BD34" s="100"/>
      <c r="BE34" s="100"/>
      <c r="BF34" s="100"/>
      <c r="BG34" s="100"/>
      <c r="BH34" s="102" t="str">
        <f t="shared" si="1"/>
        <v>Kemampuan penyediaan bahan baku oleh pemasok</v>
      </c>
      <c r="BJ34" s="104" t="s">
        <v>78</v>
      </c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 t="s">
        <v>139</v>
      </c>
      <c r="BV34" s="100"/>
      <c r="BW34" s="50"/>
      <c r="BX34" s="100"/>
      <c r="BY34" s="100"/>
      <c r="BZ34" s="100"/>
      <c r="CA34" s="100"/>
      <c r="CB34" s="103" t="s">
        <v>89</v>
      </c>
    </row>
    <row r="35" spans="2:80" ht="30.6" customHeight="1" x14ac:dyDescent="0.3">
      <c r="B35" s="44"/>
      <c r="C35" s="15"/>
      <c r="D35" s="15"/>
      <c r="E35" s="100" t="s">
        <v>139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 t="s">
        <v>29</v>
      </c>
      <c r="V35" s="104" t="s">
        <v>78</v>
      </c>
      <c r="W35" s="100"/>
      <c r="X35" s="100"/>
      <c r="Y35" s="100"/>
      <c r="Z35" s="100"/>
      <c r="AA35" s="100"/>
      <c r="AB35" s="100"/>
      <c r="AC35" s="100" t="s">
        <v>139</v>
      </c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2" t="s">
        <v>90</v>
      </c>
      <c r="AP35" s="101" t="str">
        <f t="shared" si="0"/>
        <v>Reputasi dan posisi vendor dalam pasar</v>
      </c>
      <c r="AQ35" s="100"/>
      <c r="AR35" s="100"/>
      <c r="AS35" s="100"/>
      <c r="AT35" s="100"/>
      <c r="AU35" s="100"/>
      <c r="AV35" s="100"/>
      <c r="AW35" s="100" t="s">
        <v>139</v>
      </c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2" t="str">
        <f t="shared" si="1"/>
        <v>Waktu tunggu pemasok tiap pemesanan</v>
      </c>
      <c r="BJ35" s="104" t="s">
        <v>78</v>
      </c>
      <c r="BK35" s="100"/>
      <c r="BL35" s="100"/>
      <c r="BM35" s="100"/>
      <c r="BN35" s="100"/>
      <c r="BO35" s="100" t="s">
        <v>139</v>
      </c>
      <c r="BP35" s="100"/>
      <c r="BQ35" s="5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2" t="s">
        <v>90</v>
      </c>
    </row>
    <row r="36" spans="2:80" ht="30.6" customHeight="1" x14ac:dyDescent="0.3">
      <c r="B36" s="44"/>
      <c r="C36" s="15"/>
      <c r="D36" s="15"/>
      <c r="E36" s="15"/>
      <c r="F36" s="15"/>
      <c r="G36" s="15"/>
      <c r="H36" s="15"/>
      <c r="I36" s="15"/>
      <c r="J36" s="15"/>
      <c r="K36" s="100" t="s">
        <v>139</v>
      </c>
      <c r="L36" s="15"/>
      <c r="M36" s="15"/>
      <c r="N36" s="15"/>
      <c r="O36" s="15"/>
      <c r="P36" s="15"/>
      <c r="Q36" s="15"/>
      <c r="R36" s="15"/>
      <c r="S36" s="15"/>
      <c r="T36" s="15" t="s">
        <v>31</v>
      </c>
      <c r="V36" s="104" t="s">
        <v>78</v>
      </c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 t="s">
        <v>139</v>
      </c>
      <c r="AH36" s="100"/>
      <c r="AI36" s="100"/>
      <c r="AJ36" s="100"/>
      <c r="AK36" s="100"/>
      <c r="AL36" s="100"/>
      <c r="AM36" s="100"/>
      <c r="AN36" s="102" t="s">
        <v>91</v>
      </c>
      <c r="AP36" s="101" t="str">
        <f t="shared" ref="AP36:BE87" si="2">V36</f>
        <v>Reputasi dan posisi vendor dalam pasar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 t="s">
        <v>139</v>
      </c>
      <c r="BB36" s="100"/>
      <c r="BC36" s="100"/>
      <c r="BD36" s="100"/>
      <c r="BE36" s="100"/>
      <c r="BF36" s="100"/>
      <c r="BG36" s="100"/>
      <c r="BH36" s="102" t="str">
        <f t="shared" si="1"/>
        <v>Kemungkinan produk rusak atau cacat</v>
      </c>
      <c r="BJ36" s="104" t="s">
        <v>78</v>
      </c>
      <c r="BK36" s="100"/>
      <c r="BL36" s="100"/>
      <c r="BM36" s="100"/>
      <c r="BN36" s="100"/>
      <c r="BO36" s="100"/>
      <c r="BP36" s="100"/>
      <c r="BQ36" s="100"/>
      <c r="BR36" s="100"/>
      <c r="BS36" s="100" t="s">
        <v>139</v>
      </c>
      <c r="BT36" s="100"/>
      <c r="BU36" s="50"/>
      <c r="BV36" s="100"/>
      <c r="BW36" s="100"/>
      <c r="BX36" s="100"/>
      <c r="BY36" s="100"/>
      <c r="BZ36" s="100"/>
      <c r="CA36" s="100"/>
      <c r="CB36" s="102" t="s">
        <v>91</v>
      </c>
    </row>
    <row r="37" spans="2:80" ht="30.6" customHeight="1" x14ac:dyDescent="0.3">
      <c r="B37" s="44" t="s">
        <v>30</v>
      </c>
      <c r="C37" s="15"/>
      <c r="D37" s="15"/>
      <c r="E37" s="15"/>
      <c r="F37" s="15"/>
      <c r="G37" s="15"/>
      <c r="H37" s="100" t="s">
        <v>139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 t="s">
        <v>29</v>
      </c>
      <c r="V37" s="104" t="s">
        <v>107</v>
      </c>
      <c r="W37" s="100"/>
      <c r="X37" s="100"/>
      <c r="Y37" s="100" t="s">
        <v>139</v>
      </c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2" t="s">
        <v>88</v>
      </c>
      <c r="AP37" s="101" t="str">
        <f t="shared" si="2"/>
        <v>Hubungan dengan vendor seperti: Komunikasi</v>
      </c>
      <c r="AQ37" s="100"/>
      <c r="AR37" s="100"/>
      <c r="AS37" s="100" t="s">
        <v>139</v>
      </c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2" t="str">
        <f t="shared" si="1"/>
        <v>Kapasitas penyimpanan pemasok</v>
      </c>
      <c r="BJ37" s="104" t="s">
        <v>107</v>
      </c>
      <c r="BK37" s="100" t="s">
        <v>139</v>
      </c>
      <c r="BL37" s="100"/>
      <c r="BM37" s="5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2" t="s">
        <v>88</v>
      </c>
    </row>
    <row r="38" spans="2:80" ht="30.6" customHeight="1" x14ac:dyDescent="0.3">
      <c r="B38" s="4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0" t="s">
        <v>139</v>
      </c>
      <c r="N38" s="15"/>
      <c r="O38" s="15"/>
      <c r="P38" s="15"/>
      <c r="Q38" s="15"/>
      <c r="R38" s="15"/>
      <c r="S38" s="15"/>
      <c r="T38" s="15" t="s">
        <v>31</v>
      </c>
      <c r="V38" s="104" t="s">
        <v>107</v>
      </c>
      <c r="W38" s="100"/>
      <c r="X38" s="100"/>
      <c r="Y38" s="100"/>
      <c r="Z38" s="100"/>
      <c r="AA38" s="100" t="s">
        <v>139</v>
      </c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3" t="s">
        <v>89</v>
      </c>
      <c r="AP38" s="101" t="str">
        <f t="shared" si="2"/>
        <v>Hubungan dengan vendor seperti: Komunikasi</v>
      </c>
      <c r="AQ38" s="100"/>
      <c r="AR38" s="100"/>
      <c r="AS38" s="100"/>
      <c r="AT38" s="100"/>
      <c r="AU38" s="100" t="s">
        <v>139</v>
      </c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2" t="str">
        <f t="shared" si="1"/>
        <v>Kemampuan penyediaan bahan baku oleh pemasok</v>
      </c>
      <c r="BJ38" s="104" t="s">
        <v>107</v>
      </c>
      <c r="BK38" s="100"/>
      <c r="BL38" s="100"/>
      <c r="BM38" s="100"/>
      <c r="BN38" s="100"/>
      <c r="BO38" s="50"/>
      <c r="BP38" s="100"/>
      <c r="BQ38" s="100"/>
      <c r="BR38" s="100"/>
      <c r="BS38" s="100" t="s">
        <v>139</v>
      </c>
      <c r="BT38" s="100"/>
      <c r="BU38" s="100"/>
      <c r="BV38" s="100"/>
      <c r="BW38" s="100"/>
      <c r="BX38" s="100"/>
      <c r="BY38" s="100"/>
      <c r="BZ38" s="100"/>
      <c r="CA38" s="100"/>
      <c r="CB38" s="103" t="s">
        <v>89</v>
      </c>
    </row>
    <row r="39" spans="2:80" ht="30.6" customHeight="1" x14ac:dyDescent="0.3">
      <c r="B39" s="15" t="s">
        <v>29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00" t="s">
        <v>139</v>
      </c>
      <c r="R39" s="15"/>
      <c r="S39" s="15"/>
      <c r="T39" s="15" t="s">
        <v>31</v>
      </c>
      <c r="V39" s="104" t="s">
        <v>107</v>
      </c>
      <c r="W39" s="100" t="s">
        <v>139</v>
      </c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2" t="s">
        <v>90</v>
      </c>
      <c r="AP39" s="101" t="str">
        <f t="shared" si="2"/>
        <v>Hubungan dengan vendor seperti: Komunikasi</v>
      </c>
      <c r="AR39" s="100"/>
      <c r="AS39" s="100"/>
      <c r="AT39" s="100"/>
      <c r="AU39" s="100"/>
      <c r="AV39" s="100"/>
      <c r="AW39" s="100" t="s">
        <v>139</v>
      </c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2" t="str">
        <f t="shared" si="1"/>
        <v>Waktu tunggu pemasok tiap pemesanan</v>
      </c>
      <c r="BJ39" s="104" t="s">
        <v>107</v>
      </c>
      <c r="BK39" s="50"/>
      <c r="BL39" s="100"/>
      <c r="BM39" s="100" t="s">
        <v>139</v>
      </c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2" t="s">
        <v>90</v>
      </c>
    </row>
    <row r="40" spans="2:80" ht="30.6" customHeight="1" x14ac:dyDescent="0.3">
      <c r="V40" s="104" t="s">
        <v>107</v>
      </c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 t="s">
        <v>139</v>
      </c>
      <c r="AK40" s="100"/>
      <c r="AL40" s="100"/>
      <c r="AM40" s="100"/>
      <c r="AN40" s="102" t="s">
        <v>91</v>
      </c>
      <c r="AP40" s="101" t="str">
        <f t="shared" si="2"/>
        <v>Hubungan dengan vendor seperti: Komunikasi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 t="s">
        <v>139</v>
      </c>
      <c r="BE40" s="100"/>
      <c r="BF40" s="100"/>
      <c r="BG40" s="100"/>
      <c r="BH40" s="102" t="str">
        <f t="shared" si="1"/>
        <v>Kemungkinan produk rusak atau cacat</v>
      </c>
      <c r="BJ40" s="104" t="s">
        <v>107</v>
      </c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 t="s">
        <v>139</v>
      </c>
      <c r="BV40" s="100"/>
      <c r="BW40" s="100"/>
      <c r="BX40" s="50"/>
      <c r="BY40" s="100"/>
      <c r="BZ40" s="100"/>
      <c r="CA40" s="100"/>
      <c r="CB40" s="102" t="s">
        <v>91</v>
      </c>
    </row>
    <row r="41" spans="2:80" ht="30.6" customHeight="1" x14ac:dyDescent="0.3">
      <c r="V41" s="104" t="s">
        <v>81</v>
      </c>
      <c r="W41" s="100"/>
      <c r="X41" s="100"/>
      <c r="Y41" s="100" t="s">
        <v>139</v>
      </c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2" t="s">
        <v>88</v>
      </c>
      <c r="AP41" s="101" t="str">
        <f t="shared" si="2"/>
        <v>Dedikasi dan kepercayaan</v>
      </c>
      <c r="AQ41" s="100"/>
      <c r="AR41" s="100"/>
      <c r="AS41" s="100" t="s">
        <v>139</v>
      </c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2" t="str">
        <f t="shared" si="1"/>
        <v>Kapasitas penyimpanan pemasok</v>
      </c>
      <c r="BJ41" s="104" t="s">
        <v>81</v>
      </c>
      <c r="BK41" s="100"/>
      <c r="BL41" s="100"/>
      <c r="BM41" s="100" t="s">
        <v>139</v>
      </c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2" t="s">
        <v>88</v>
      </c>
    </row>
    <row r="42" spans="2:80" ht="30.6" customHeight="1" x14ac:dyDescent="0.3">
      <c r="V42" s="104" t="s">
        <v>81</v>
      </c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 t="s">
        <v>139</v>
      </c>
      <c r="AJ42" s="100"/>
      <c r="AK42" s="100"/>
      <c r="AL42" s="100"/>
      <c r="AM42" s="100"/>
      <c r="AN42" s="103" t="s">
        <v>89</v>
      </c>
      <c r="AP42" s="101" t="str">
        <f t="shared" si="2"/>
        <v>Dedikasi dan kepercayaan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 t="s">
        <v>139</v>
      </c>
      <c r="BD42" s="100"/>
      <c r="BE42" s="100"/>
      <c r="BF42" s="100"/>
      <c r="BG42" s="100"/>
      <c r="BH42" s="102" t="str">
        <f t="shared" si="1"/>
        <v>Kemampuan penyediaan bahan baku oleh pemasok</v>
      </c>
      <c r="BJ42" s="104" t="s">
        <v>81</v>
      </c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 t="s">
        <v>139</v>
      </c>
      <c r="BX42" s="100"/>
      <c r="BY42" s="100"/>
      <c r="BZ42" s="100"/>
      <c r="CA42" s="100"/>
      <c r="CB42" s="103" t="s">
        <v>89</v>
      </c>
    </row>
    <row r="43" spans="2:80" ht="30.6" customHeight="1" x14ac:dyDescent="0.3">
      <c r="V43" s="104" t="s">
        <v>81</v>
      </c>
      <c r="W43" s="100"/>
      <c r="X43" s="100"/>
      <c r="Y43" s="100"/>
      <c r="Z43" s="100"/>
      <c r="AA43" s="100"/>
      <c r="AB43" s="100" t="s">
        <v>139</v>
      </c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2" t="s">
        <v>90</v>
      </c>
      <c r="AP43" s="101" t="str">
        <f t="shared" si="2"/>
        <v>Dedikasi dan kepercayaan</v>
      </c>
      <c r="AQ43" s="100"/>
      <c r="AR43" s="100"/>
      <c r="AS43" s="100"/>
      <c r="AT43" s="100"/>
      <c r="AU43" s="100"/>
      <c r="AV43" s="100" t="s">
        <v>139</v>
      </c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2" t="str">
        <f t="shared" si="1"/>
        <v>Waktu tunggu pemasok tiap pemesanan</v>
      </c>
      <c r="BJ43" s="104" t="s">
        <v>81</v>
      </c>
      <c r="BK43" s="100"/>
      <c r="BL43" s="100"/>
      <c r="BM43" s="100"/>
      <c r="BN43" s="100"/>
      <c r="BO43" s="100"/>
      <c r="BP43" s="100" t="s">
        <v>139</v>
      </c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2" t="s">
        <v>90</v>
      </c>
    </row>
    <row r="44" spans="2:80" ht="30.6" customHeight="1" x14ac:dyDescent="0.3">
      <c r="V44" s="104" t="s">
        <v>81</v>
      </c>
      <c r="W44" s="100"/>
      <c r="X44" s="100"/>
      <c r="Y44" s="100"/>
      <c r="Z44" s="100"/>
      <c r="AA44" s="100"/>
      <c r="AB44" s="100"/>
      <c r="AC44" s="100"/>
      <c r="AD44" s="100"/>
      <c r="AE44" s="100" t="s">
        <v>139</v>
      </c>
      <c r="AF44" s="100"/>
      <c r="AG44" s="100"/>
      <c r="AH44" s="100"/>
      <c r="AI44" s="100"/>
      <c r="AJ44" s="100"/>
      <c r="AK44" s="100"/>
      <c r="AL44" s="100"/>
      <c r="AM44" s="100"/>
      <c r="AN44" s="102" t="s">
        <v>91</v>
      </c>
      <c r="AP44" s="101" t="str">
        <f t="shared" si="2"/>
        <v>Dedikasi dan kepercayaan</v>
      </c>
      <c r="AQ44" s="100"/>
      <c r="AR44" s="100"/>
      <c r="AS44" s="100"/>
      <c r="AT44" s="100"/>
      <c r="AU44" s="100"/>
      <c r="AV44" s="100"/>
      <c r="AW44" s="100"/>
      <c r="AX44" s="100"/>
      <c r="AY44" s="100" t="s">
        <v>139</v>
      </c>
      <c r="AZ44" s="100"/>
      <c r="BA44" s="100"/>
      <c r="BB44" s="100"/>
      <c r="BC44" s="100"/>
      <c r="BD44" s="100"/>
      <c r="BE44" s="100"/>
      <c r="BF44" s="100"/>
      <c r="BG44" s="100"/>
      <c r="BH44" s="102" t="str">
        <f t="shared" si="1"/>
        <v>Kemungkinan produk rusak atau cacat</v>
      </c>
      <c r="BJ44" s="104" t="s">
        <v>81</v>
      </c>
      <c r="BK44" s="100"/>
      <c r="BL44" s="100"/>
      <c r="BM44" s="100"/>
      <c r="BN44" s="100"/>
      <c r="BO44" s="100"/>
      <c r="BP44" s="100"/>
      <c r="BQ44" s="100"/>
      <c r="BR44" s="100"/>
      <c r="BS44" s="100" t="s">
        <v>139</v>
      </c>
      <c r="BT44" s="100"/>
      <c r="BU44" s="100"/>
      <c r="BV44" s="100"/>
      <c r="BW44" s="100"/>
      <c r="BX44" s="100"/>
      <c r="BY44" s="100"/>
      <c r="BZ44" s="100"/>
      <c r="CA44" s="100"/>
      <c r="CB44" s="102" t="s">
        <v>91</v>
      </c>
    </row>
    <row r="45" spans="2:80" ht="30.6" customHeight="1" x14ac:dyDescent="0.3">
      <c r="V45" s="104" t="s">
        <v>82</v>
      </c>
      <c r="W45" s="100"/>
      <c r="X45" s="100"/>
      <c r="Y45" s="100"/>
      <c r="Z45" s="100"/>
      <c r="AA45" s="100"/>
      <c r="AB45" s="100"/>
      <c r="AC45" s="100"/>
      <c r="AD45" s="100"/>
      <c r="AE45" s="100" t="s">
        <v>139</v>
      </c>
      <c r="AF45" s="100"/>
      <c r="AG45" s="100"/>
      <c r="AH45" s="100"/>
      <c r="AI45" s="100"/>
      <c r="AJ45" s="100"/>
      <c r="AK45" s="100"/>
      <c r="AL45" s="100"/>
      <c r="AM45" s="100"/>
      <c r="AN45" s="102" t="s">
        <v>88</v>
      </c>
      <c r="AP45" s="101" t="str">
        <f t="shared" si="2"/>
        <v>Pengalaman masa lalu</v>
      </c>
      <c r="AQ45" s="100"/>
      <c r="AR45" s="100"/>
      <c r="AS45" s="100"/>
      <c r="AT45" s="100"/>
      <c r="AU45" s="100"/>
      <c r="AV45" s="100"/>
      <c r="AW45" s="100"/>
      <c r="AX45" s="100"/>
      <c r="AY45" s="100" t="s">
        <v>139</v>
      </c>
      <c r="AZ45" s="100"/>
      <c r="BA45" s="100"/>
      <c r="BB45" s="100"/>
      <c r="BC45" s="100"/>
      <c r="BD45" s="100"/>
      <c r="BE45" s="100"/>
      <c r="BF45" s="100"/>
      <c r="BG45" s="100"/>
      <c r="BH45" s="102" t="str">
        <f t="shared" si="1"/>
        <v>Kapasitas penyimpanan pemasok</v>
      </c>
      <c r="BJ45" s="104" t="s">
        <v>82</v>
      </c>
      <c r="BK45" s="100"/>
      <c r="BL45" s="100"/>
      <c r="BM45" s="100"/>
      <c r="BN45" s="100"/>
      <c r="BO45" s="100"/>
      <c r="BP45" s="100"/>
      <c r="BQ45" s="100"/>
      <c r="BR45" s="100"/>
      <c r="BS45" s="100" t="s">
        <v>139</v>
      </c>
      <c r="BT45" s="100"/>
      <c r="BU45" s="100"/>
      <c r="BV45" s="100"/>
      <c r="BW45" s="100"/>
      <c r="BX45" s="100"/>
      <c r="BY45" s="100"/>
      <c r="BZ45" s="100"/>
      <c r="CA45" s="100"/>
      <c r="CB45" s="102" t="s">
        <v>88</v>
      </c>
    </row>
    <row r="46" spans="2:80" ht="30.6" customHeight="1" x14ac:dyDescent="0.3">
      <c r="V46" s="104" t="s">
        <v>82</v>
      </c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 t="s">
        <v>139</v>
      </c>
      <c r="AN46" s="103" t="s">
        <v>89</v>
      </c>
      <c r="AP46" s="101" t="str">
        <f t="shared" si="2"/>
        <v>Pengalaman masa lalu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 t="s">
        <v>139</v>
      </c>
      <c r="BH46" s="102" t="str">
        <f t="shared" si="1"/>
        <v>Kemampuan penyediaan bahan baku oleh pemasok</v>
      </c>
      <c r="BJ46" s="104" t="s">
        <v>82</v>
      </c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 t="s">
        <v>139</v>
      </c>
      <c r="CB46" s="103" t="s">
        <v>89</v>
      </c>
    </row>
    <row r="47" spans="2:80" ht="30.6" customHeight="1" x14ac:dyDescent="0.3">
      <c r="V47" s="104" t="s">
        <v>82</v>
      </c>
      <c r="W47" s="100"/>
      <c r="X47" s="100"/>
      <c r="Y47" s="100"/>
      <c r="Z47" s="100"/>
      <c r="AA47" s="100"/>
      <c r="AB47" s="100"/>
      <c r="AC47" s="100"/>
      <c r="AD47" s="100"/>
      <c r="AE47" s="100" t="s">
        <v>139</v>
      </c>
      <c r="AF47" s="100"/>
      <c r="AG47" s="100"/>
      <c r="AH47" s="100"/>
      <c r="AI47" s="100"/>
      <c r="AJ47" s="100"/>
      <c r="AK47" s="100"/>
      <c r="AL47" s="100"/>
      <c r="AM47" s="100"/>
      <c r="AN47" s="102" t="s">
        <v>90</v>
      </c>
      <c r="AP47" s="101" t="str">
        <f t="shared" si="2"/>
        <v>Pengalaman masa lalu</v>
      </c>
      <c r="AQ47" s="100"/>
      <c r="AR47" s="100"/>
      <c r="AS47" s="100"/>
      <c r="AT47" s="100"/>
      <c r="AU47" s="100"/>
      <c r="AV47" s="100"/>
      <c r="AW47" s="100"/>
      <c r="AX47" s="100"/>
      <c r="AY47" s="100" t="s">
        <v>139</v>
      </c>
      <c r="AZ47" s="100"/>
      <c r="BA47" s="100"/>
      <c r="BB47" s="100"/>
      <c r="BC47" s="100"/>
      <c r="BD47" s="100"/>
      <c r="BE47" s="100"/>
      <c r="BF47" s="100"/>
      <c r="BG47" s="100"/>
      <c r="BH47" s="102" t="str">
        <f t="shared" si="1"/>
        <v>Waktu tunggu pemasok tiap pemesanan</v>
      </c>
      <c r="BJ47" s="104" t="s">
        <v>82</v>
      </c>
      <c r="BK47" s="100"/>
      <c r="BL47" s="100"/>
      <c r="BM47" s="100"/>
      <c r="BN47" s="100"/>
      <c r="BO47" s="100"/>
      <c r="BP47" s="100"/>
      <c r="BQ47" s="100"/>
      <c r="BR47" s="100"/>
      <c r="BS47" s="100" t="s">
        <v>139</v>
      </c>
      <c r="BT47" s="100"/>
      <c r="BU47" s="100"/>
      <c r="BV47" s="100"/>
      <c r="BW47" s="100"/>
      <c r="BX47" s="100"/>
      <c r="BY47" s="100"/>
      <c r="BZ47" s="100"/>
      <c r="CA47" s="100"/>
      <c r="CB47" s="102" t="s">
        <v>90</v>
      </c>
    </row>
    <row r="48" spans="2:80" ht="30.6" customHeight="1" x14ac:dyDescent="0.3">
      <c r="V48" s="104" t="s">
        <v>82</v>
      </c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 t="s">
        <v>139</v>
      </c>
      <c r="AJ48" s="100"/>
      <c r="AK48" s="100"/>
      <c r="AL48" s="100"/>
      <c r="AM48" s="100"/>
      <c r="AN48" s="102" t="s">
        <v>91</v>
      </c>
      <c r="AP48" s="101" t="str">
        <f t="shared" si="2"/>
        <v>Pengalaman masa lalu</v>
      </c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 t="s">
        <v>139</v>
      </c>
      <c r="BD48" s="100"/>
      <c r="BE48" s="100"/>
      <c r="BF48" s="100"/>
      <c r="BG48" s="100"/>
      <c r="BH48" s="102" t="str">
        <f t="shared" si="1"/>
        <v>Kemungkinan produk rusak atau cacat</v>
      </c>
      <c r="BJ48" s="104" t="s">
        <v>82</v>
      </c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 t="s">
        <v>139</v>
      </c>
      <c r="BX48" s="100"/>
      <c r="BY48" s="100"/>
      <c r="BZ48" s="100"/>
      <c r="CA48" s="100"/>
      <c r="CB48" s="102" t="s">
        <v>91</v>
      </c>
    </row>
    <row r="49" spans="22:80" ht="30.6" customHeight="1" x14ac:dyDescent="0.3">
      <c r="V49" s="104" t="s">
        <v>75</v>
      </c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 t="s">
        <v>139</v>
      </c>
      <c r="AI49" s="100"/>
      <c r="AJ49" s="100"/>
      <c r="AK49" s="100"/>
      <c r="AL49" s="100"/>
      <c r="AM49" s="100"/>
      <c r="AN49" s="102" t="s">
        <v>86</v>
      </c>
      <c r="AP49" s="101" t="str">
        <f t="shared" si="2"/>
        <v>Fleksibilitas dalam melakukan perubahan pesanan dan pembayaran</v>
      </c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 t="s">
        <v>139</v>
      </c>
      <c r="BC49" s="100"/>
      <c r="BD49" s="100"/>
      <c r="BE49" s="100"/>
      <c r="BF49" s="100"/>
      <c r="BG49" s="100"/>
      <c r="BH49" s="102" t="str">
        <f t="shared" si="1"/>
        <v>Kesesuaian kualitas barang dengan harga yang ditawarkan</v>
      </c>
      <c r="BJ49" s="104" t="s">
        <v>75</v>
      </c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 t="s">
        <v>139</v>
      </c>
      <c r="BW49" s="100"/>
      <c r="BX49" s="100"/>
      <c r="BY49" s="100"/>
      <c r="BZ49" s="100"/>
      <c r="CA49" s="100"/>
      <c r="CB49" s="102" t="s">
        <v>86</v>
      </c>
    </row>
    <row r="50" spans="22:80" ht="30.6" customHeight="1" x14ac:dyDescent="0.3">
      <c r="V50" s="104" t="s">
        <v>75</v>
      </c>
      <c r="W50" s="100"/>
      <c r="X50" s="100"/>
      <c r="Y50" s="100"/>
      <c r="Z50" s="100"/>
      <c r="AA50" s="100"/>
      <c r="AB50" s="100"/>
      <c r="AC50" s="100"/>
      <c r="AD50" s="100"/>
      <c r="AE50" s="100" t="s">
        <v>139</v>
      </c>
      <c r="AF50" s="100"/>
      <c r="AG50" s="100"/>
      <c r="AH50" s="100"/>
      <c r="AI50" s="100"/>
      <c r="AJ50" s="100"/>
      <c r="AK50" s="100"/>
      <c r="AL50" s="100"/>
      <c r="AM50" s="100"/>
      <c r="AN50" s="102" t="s">
        <v>88</v>
      </c>
      <c r="AP50" s="101" t="str">
        <f t="shared" si="2"/>
        <v>Fleksibilitas dalam melakukan perubahan pesanan dan pembayaran</v>
      </c>
      <c r="AQ50" s="100"/>
      <c r="AR50" s="100"/>
      <c r="AS50" s="100"/>
      <c r="AT50" s="100"/>
      <c r="AU50" s="100"/>
      <c r="AV50" s="100"/>
      <c r="AW50" s="100" t="s">
        <v>139</v>
      </c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2" t="str">
        <f t="shared" si="1"/>
        <v>Kapasitas penyimpanan pemasok</v>
      </c>
      <c r="BJ50" s="104" t="s">
        <v>75</v>
      </c>
      <c r="BK50" s="100"/>
      <c r="BL50" s="100"/>
      <c r="BM50" s="100"/>
      <c r="BN50" s="100"/>
      <c r="BO50" s="100" t="s">
        <v>139</v>
      </c>
      <c r="BP50" s="100"/>
      <c r="BQ50" s="100"/>
      <c r="BR50" s="100"/>
      <c r="BS50" s="50"/>
      <c r="BT50" s="100"/>
      <c r="BU50" s="100"/>
      <c r="BV50" s="100"/>
      <c r="BW50" s="100"/>
      <c r="BX50" s="100"/>
      <c r="BY50" s="100"/>
      <c r="BZ50" s="100"/>
      <c r="CA50" s="100"/>
      <c r="CB50" s="102" t="s">
        <v>88</v>
      </c>
    </row>
    <row r="51" spans="22:80" ht="30.6" customHeight="1" x14ac:dyDescent="0.3">
      <c r="V51" s="104" t="s">
        <v>75</v>
      </c>
      <c r="W51" s="100"/>
      <c r="X51" s="100"/>
      <c r="Y51" s="100"/>
      <c r="Z51" s="100"/>
      <c r="AA51" s="100"/>
      <c r="AB51" s="100"/>
      <c r="AC51" s="100"/>
      <c r="AD51" s="100"/>
      <c r="AE51" s="100" t="s">
        <v>139</v>
      </c>
      <c r="AF51" s="100"/>
      <c r="AG51" s="100"/>
      <c r="AH51" s="100"/>
      <c r="AI51" s="100"/>
      <c r="AJ51" s="100"/>
      <c r="AK51" s="100"/>
      <c r="AL51" s="100"/>
      <c r="AM51" s="100"/>
      <c r="AN51" s="103" t="s">
        <v>89</v>
      </c>
      <c r="AP51" s="101" t="str">
        <f t="shared" si="2"/>
        <v>Fleksibilitas dalam melakukan perubahan pesanan dan pembayaran</v>
      </c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 t="s">
        <v>139</v>
      </c>
      <c r="BD51" s="100"/>
      <c r="BE51" s="100"/>
      <c r="BF51" s="100"/>
      <c r="BG51" s="100"/>
      <c r="BH51" s="102" t="str">
        <f t="shared" si="1"/>
        <v>Kemampuan penyediaan bahan baku oleh pemasok</v>
      </c>
      <c r="BJ51" s="104" t="s">
        <v>75</v>
      </c>
      <c r="BK51" s="100"/>
      <c r="BL51" s="100"/>
      <c r="BM51" s="100"/>
      <c r="BN51" s="100"/>
      <c r="BO51" s="100"/>
      <c r="BP51" s="100"/>
      <c r="BQ51" s="100"/>
      <c r="BR51" s="100"/>
      <c r="BS51" s="50"/>
      <c r="BT51" s="100"/>
      <c r="BU51" s="100"/>
      <c r="BV51" s="100"/>
      <c r="BW51" s="100" t="s">
        <v>139</v>
      </c>
      <c r="BX51" s="100"/>
      <c r="BY51" s="100"/>
      <c r="BZ51" s="100"/>
      <c r="CA51" s="100"/>
      <c r="CB51" s="103" t="s">
        <v>89</v>
      </c>
    </row>
    <row r="52" spans="22:80" ht="30.6" customHeight="1" x14ac:dyDescent="0.3">
      <c r="V52" s="104" t="s">
        <v>75</v>
      </c>
      <c r="W52" s="100"/>
      <c r="X52" s="100"/>
      <c r="Y52" s="100"/>
      <c r="Z52" s="100"/>
      <c r="AA52" s="100"/>
      <c r="AB52" s="100"/>
      <c r="AC52" s="100"/>
      <c r="AD52" s="100"/>
      <c r="AE52" s="100" t="s">
        <v>139</v>
      </c>
      <c r="AF52" s="100"/>
      <c r="AG52" s="100"/>
      <c r="AH52" s="100"/>
      <c r="AI52" s="100"/>
      <c r="AJ52" s="100"/>
      <c r="AK52" s="100"/>
      <c r="AL52" s="100"/>
      <c r="AM52" s="100"/>
      <c r="AN52" s="102" t="s">
        <v>90</v>
      </c>
      <c r="AP52" s="101" t="str">
        <f t="shared" si="2"/>
        <v>Fleksibilitas dalam melakukan perubahan pesanan dan pembayaran</v>
      </c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 t="s">
        <v>139</v>
      </c>
      <c r="BC52" s="100"/>
      <c r="BD52" s="100"/>
      <c r="BE52" s="100"/>
      <c r="BF52" s="100"/>
      <c r="BG52" s="100"/>
      <c r="BH52" s="102" t="str">
        <f t="shared" si="1"/>
        <v>Waktu tunggu pemasok tiap pemesanan</v>
      </c>
      <c r="BJ52" s="104" t="s">
        <v>75</v>
      </c>
      <c r="BK52" s="100"/>
      <c r="BL52" s="100"/>
      <c r="BM52" s="100"/>
      <c r="BN52" s="100"/>
      <c r="BO52" s="100"/>
      <c r="BP52" s="100"/>
      <c r="BQ52" s="100" t="s">
        <v>139</v>
      </c>
      <c r="BR52" s="100"/>
      <c r="BS52" s="50"/>
      <c r="BT52" s="100"/>
      <c r="BU52" s="100"/>
      <c r="BV52" s="100"/>
      <c r="BW52" s="100"/>
      <c r="BX52" s="100"/>
      <c r="BY52" s="100"/>
      <c r="BZ52" s="100"/>
      <c r="CA52" s="100"/>
      <c r="CB52" s="102" t="s">
        <v>90</v>
      </c>
    </row>
    <row r="53" spans="22:80" ht="30.6" customHeight="1" x14ac:dyDescent="0.3">
      <c r="V53" s="104" t="s">
        <v>75</v>
      </c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 t="s">
        <v>139</v>
      </c>
      <c r="AH53" s="100"/>
      <c r="AI53" s="100"/>
      <c r="AJ53" s="100"/>
      <c r="AK53" s="100"/>
      <c r="AL53" s="100"/>
      <c r="AM53" s="100"/>
      <c r="AN53" s="102" t="s">
        <v>91</v>
      </c>
      <c r="AP53" s="101" t="str">
        <f t="shared" si="2"/>
        <v>Fleksibilitas dalam melakukan perubahan pesanan dan pembayaran</v>
      </c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 t="s">
        <v>139</v>
      </c>
      <c r="BB53" s="100"/>
      <c r="BC53" s="100"/>
      <c r="BD53" s="100"/>
      <c r="BE53" s="100"/>
      <c r="BF53" s="100"/>
      <c r="BG53" s="100"/>
      <c r="BH53" s="102" t="str">
        <f t="shared" si="1"/>
        <v>Kemungkinan produk rusak atau cacat</v>
      </c>
      <c r="BJ53" s="104" t="s">
        <v>75</v>
      </c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50"/>
      <c r="BV53" s="100"/>
      <c r="BW53" s="100"/>
      <c r="BX53" s="100"/>
      <c r="BY53" s="100" t="s">
        <v>139</v>
      </c>
      <c r="BZ53" s="100"/>
      <c r="CA53" s="100"/>
      <c r="CB53" s="102" t="s">
        <v>91</v>
      </c>
    </row>
    <row r="54" spans="22:80" ht="30.6" customHeight="1" x14ac:dyDescent="0.3">
      <c r="V54" s="104" t="s">
        <v>86</v>
      </c>
      <c r="W54" s="100"/>
      <c r="X54" s="100"/>
      <c r="Y54" s="100"/>
      <c r="Z54" s="100" t="s">
        <v>139</v>
      </c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3" t="s">
        <v>88</v>
      </c>
      <c r="AP54" s="101" t="str">
        <f t="shared" si="2"/>
        <v>Kesesuaian kualitas barang dengan harga yang ditawarkan</v>
      </c>
      <c r="AQ54" s="100"/>
      <c r="AR54" s="100"/>
      <c r="AS54" s="100"/>
      <c r="AT54" s="100"/>
      <c r="AU54" s="100" t="s">
        <v>139</v>
      </c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2" t="str">
        <f t="shared" si="1"/>
        <v>Kapasitas penyimpanan pemasok</v>
      </c>
      <c r="BJ54" s="104" t="s">
        <v>86</v>
      </c>
      <c r="BK54" s="100"/>
      <c r="BL54" s="100"/>
      <c r="BM54" s="100"/>
      <c r="BN54" s="100" t="s">
        <v>139</v>
      </c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3" t="s">
        <v>88</v>
      </c>
    </row>
    <row r="55" spans="22:80" ht="30.6" customHeight="1" x14ac:dyDescent="0.3">
      <c r="V55" s="104" t="s">
        <v>86</v>
      </c>
      <c r="W55" s="100"/>
      <c r="X55" s="100"/>
      <c r="Y55" s="100"/>
      <c r="Z55" s="100"/>
      <c r="AA55" s="100"/>
      <c r="AB55" s="100"/>
      <c r="AC55" s="100"/>
      <c r="AD55" s="100"/>
      <c r="AE55" s="100" t="s">
        <v>139</v>
      </c>
      <c r="AF55" s="100"/>
      <c r="AG55" s="100"/>
      <c r="AH55" s="100"/>
      <c r="AI55" s="100"/>
      <c r="AJ55" s="100"/>
      <c r="AK55" s="100"/>
      <c r="AL55" s="100"/>
      <c r="AM55" s="100"/>
      <c r="AN55" s="102" t="s">
        <v>89</v>
      </c>
      <c r="AP55" s="101" t="str">
        <f t="shared" si="2"/>
        <v>Kesesuaian kualitas barang dengan harga yang ditawarkan</v>
      </c>
      <c r="AQ55" s="100"/>
      <c r="AR55" s="100"/>
      <c r="AS55" s="100"/>
      <c r="AT55" s="100"/>
      <c r="AU55" s="100"/>
      <c r="AV55" s="100"/>
      <c r="AW55" s="100"/>
      <c r="AX55" s="100"/>
      <c r="AY55" s="100" t="s">
        <v>139</v>
      </c>
      <c r="AZ55" s="100"/>
      <c r="BA55" s="100"/>
      <c r="BB55" s="100"/>
      <c r="BC55" s="100"/>
      <c r="BD55" s="100"/>
      <c r="BE55" s="100"/>
      <c r="BF55" s="100"/>
      <c r="BG55" s="100"/>
      <c r="BH55" s="102" t="str">
        <f t="shared" si="1"/>
        <v>Kemampuan penyediaan bahan baku oleh pemasok</v>
      </c>
      <c r="BJ55" s="104" t="s">
        <v>86</v>
      </c>
      <c r="BK55" s="100"/>
      <c r="BL55" s="100"/>
      <c r="BM55" s="100"/>
      <c r="BN55" s="100"/>
      <c r="BO55" s="100"/>
      <c r="BP55" s="100"/>
      <c r="BQ55" s="100"/>
      <c r="BR55" s="100"/>
      <c r="BS55" s="100" t="s">
        <v>139</v>
      </c>
      <c r="BT55" s="100"/>
      <c r="BU55" s="100"/>
      <c r="BV55" s="100"/>
      <c r="BW55" s="100"/>
      <c r="BX55" s="100"/>
      <c r="BY55" s="100"/>
      <c r="BZ55" s="100"/>
      <c r="CA55" s="100"/>
      <c r="CB55" s="102" t="s">
        <v>89</v>
      </c>
    </row>
    <row r="56" spans="22:80" ht="30.6" customHeight="1" x14ac:dyDescent="0.3">
      <c r="V56" s="104" t="s">
        <v>86</v>
      </c>
      <c r="W56" s="100" t="s">
        <v>139</v>
      </c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3" t="s">
        <v>90</v>
      </c>
      <c r="AP56" s="101" t="str">
        <f t="shared" si="2"/>
        <v>Kesesuaian kualitas barang dengan harga yang ditawarkan</v>
      </c>
      <c r="AQ56" s="100"/>
      <c r="AR56" s="100"/>
      <c r="AS56" s="100"/>
      <c r="AT56" s="100"/>
      <c r="AU56" s="100"/>
      <c r="AV56" s="100"/>
      <c r="AW56" s="100" t="s">
        <v>139</v>
      </c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2" t="str">
        <f t="shared" si="1"/>
        <v>Waktu tunggu pemasok tiap pemesanan</v>
      </c>
      <c r="BJ56" s="104" t="s">
        <v>86</v>
      </c>
      <c r="BK56" s="100" t="s">
        <v>139</v>
      </c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3" t="s">
        <v>90</v>
      </c>
    </row>
    <row r="57" spans="22:80" ht="30.6" customHeight="1" x14ac:dyDescent="0.3">
      <c r="V57" s="104" t="s">
        <v>86</v>
      </c>
      <c r="W57" s="100"/>
      <c r="X57" s="100"/>
      <c r="Y57" s="100"/>
      <c r="Z57" s="100"/>
      <c r="AA57" s="100"/>
      <c r="AB57" s="100"/>
      <c r="AC57" s="100"/>
      <c r="AD57" s="100"/>
      <c r="AE57" s="100" t="s">
        <v>139</v>
      </c>
      <c r="AF57" s="100"/>
      <c r="AG57" s="100"/>
      <c r="AH57" s="100"/>
      <c r="AI57" s="100"/>
      <c r="AJ57" s="100"/>
      <c r="AK57" s="100"/>
      <c r="AL57" s="100"/>
      <c r="AM57" s="100"/>
      <c r="AN57" s="102" t="s">
        <v>91</v>
      </c>
      <c r="AP57" s="101" t="str">
        <f t="shared" si="2"/>
        <v>Kesesuaian kualitas barang dengan harga yang ditawarkan</v>
      </c>
      <c r="AQ57" s="100"/>
      <c r="AR57" s="100"/>
      <c r="AS57" s="100"/>
      <c r="AT57" s="100"/>
      <c r="AU57" s="100"/>
      <c r="AV57" s="100"/>
      <c r="AW57" s="100"/>
      <c r="AX57" s="100"/>
      <c r="AY57" s="100" t="s">
        <v>139</v>
      </c>
      <c r="AZ57" s="100"/>
      <c r="BA57" s="100"/>
      <c r="BB57" s="100"/>
      <c r="BC57" s="100"/>
      <c r="BD57" s="100"/>
      <c r="BE57" s="100"/>
      <c r="BF57" s="100"/>
      <c r="BG57" s="100"/>
      <c r="BH57" s="102" t="str">
        <f t="shared" si="1"/>
        <v>Kemungkinan produk rusak atau cacat</v>
      </c>
      <c r="BJ57" s="104" t="s">
        <v>86</v>
      </c>
      <c r="BK57" s="100"/>
      <c r="BL57" s="100"/>
      <c r="BM57" s="100"/>
      <c r="BN57" s="100"/>
      <c r="BO57" s="100"/>
      <c r="BP57" s="100"/>
      <c r="BQ57" s="100"/>
      <c r="BR57" s="100"/>
      <c r="BS57" s="100" t="s">
        <v>139</v>
      </c>
      <c r="BT57" s="100"/>
      <c r="BU57" s="100"/>
      <c r="BV57" s="100"/>
      <c r="BW57" s="100"/>
      <c r="BX57" s="100"/>
      <c r="BY57" s="100"/>
      <c r="BZ57" s="100"/>
      <c r="CA57" s="100"/>
      <c r="CB57" s="102" t="s">
        <v>91</v>
      </c>
    </row>
    <row r="58" spans="22:80" ht="30.6" customHeight="1" x14ac:dyDescent="0.3"/>
    <row r="59" spans="22:80" ht="30.6" customHeight="1" x14ac:dyDescent="0.3"/>
    <row r="60" spans="22:80" ht="30.6" customHeight="1" x14ac:dyDescent="0.3"/>
    <row r="61" spans="22:80" ht="30.6" customHeight="1" x14ac:dyDescent="0.3"/>
    <row r="62" spans="22:80" ht="30.6" customHeight="1" x14ac:dyDescent="0.3"/>
    <row r="63" spans="22:80" ht="30.6" customHeight="1" x14ac:dyDescent="0.3"/>
    <row r="64" spans="22:80" ht="30.6" customHeight="1" x14ac:dyDescent="0.3"/>
    <row r="65" ht="30.6" customHeight="1" x14ac:dyDescent="0.3"/>
    <row r="66" ht="30.6" customHeight="1" x14ac:dyDescent="0.3"/>
    <row r="67" ht="30.6" customHeight="1" x14ac:dyDescent="0.3"/>
    <row r="68" ht="30.6" customHeight="1" x14ac:dyDescent="0.3"/>
    <row r="69" ht="30.6" customHeight="1" x14ac:dyDescent="0.3"/>
    <row r="70" ht="30.6" customHeight="1" x14ac:dyDescent="0.3"/>
    <row r="71" ht="30.6" customHeight="1" x14ac:dyDescent="0.3"/>
    <row r="72" ht="30.6" customHeight="1" x14ac:dyDescent="0.3"/>
    <row r="73" ht="30.6" customHeight="1" x14ac:dyDescent="0.3"/>
    <row r="74" ht="30.6" customHeight="1" x14ac:dyDescent="0.3"/>
    <row r="75" ht="30.6" customHeight="1" x14ac:dyDescent="0.3"/>
    <row r="76" ht="30.6" customHeight="1" x14ac:dyDescent="0.3"/>
    <row r="77" ht="30.6" customHeight="1" x14ac:dyDescent="0.3"/>
    <row r="78" ht="30.6" customHeight="1" x14ac:dyDescent="0.3"/>
    <row r="79" ht="30.6" customHeight="1" x14ac:dyDescent="0.3"/>
    <row r="80" ht="30.6" customHeight="1" x14ac:dyDescent="0.3"/>
    <row r="81" ht="30.6" customHeight="1" x14ac:dyDescent="0.3"/>
    <row r="82" ht="30.6" customHeight="1" x14ac:dyDescent="0.3"/>
    <row r="83" ht="30.6" customHeight="1" x14ac:dyDescent="0.3"/>
    <row r="84" ht="30.6" customHeight="1" x14ac:dyDescent="0.3"/>
    <row r="85" ht="30.6" customHeight="1" x14ac:dyDescent="0.3"/>
    <row r="86" ht="30.6" customHeight="1" x14ac:dyDescent="0.3"/>
    <row r="87" ht="30.6" customHeight="1" x14ac:dyDescent="0.3"/>
    <row r="88" ht="30.6" customHeight="1" x14ac:dyDescent="0.3"/>
    <row r="89" ht="30.6" customHeight="1" x14ac:dyDescent="0.3"/>
    <row r="90" ht="30.6" customHeight="1" x14ac:dyDescent="0.3"/>
    <row r="91" ht="30.6" customHeight="1" x14ac:dyDescent="0.3"/>
    <row r="92" ht="30.6" customHeight="1" x14ac:dyDescent="0.3"/>
    <row r="93" ht="30.6" customHeight="1" x14ac:dyDescent="0.3"/>
    <row r="94" ht="30.6" customHeight="1" x14ac:dyDescent="0.3"/>
    <row r="95" ht="30.6" customHeight="1" x14ac:dyDescent="0.3"/>
    <row r="96" ht="30.6" customHeight="1" x14ac:dyDescent="0.3"/>
    <row r="97" ht="30.6" customHeight="1" x14ac:dyDescent="0.3"/>
    <row r="98" ht="30.6" customHeight="1" x14ac:dyDescent="0.3"/>
    <row r="99" ht="30.6" customHeight="1" x14ac:dyDescent="0.3"/>
    <row r="100" ht="30.6" customHeight="1" x14ac:dyDescent="0.3"/>
    <row r="101" ht="30.6" customHeight="1" x14ac:dyDescent="0.3"/>
    <row r="102" ht="30.6" customHeight="1" x14ac:dyDescent="0.3"/>
    <row r="103" ht="30.6" customHeight="1" x14ac:dyDescent="0.3"/>
    <row r="104" ht="30.6" customHeight="1" x14ac:dyDescent="0.3"/>
    <row r="105" ht="30.6" customHeight="1" x14ac:dyDescent="0.3"/>
    <row r="106" ht="30.6" customHeight="1" x14ac:dyDescent="0.3"/>
    <row r="107" ht="30.6" customHeight="1" x14ac:dyDescent="0.3"/>
    <row r="108" ht="31.8" customHeight="1" x14ac:dyDescent="0.3"/>
    <row r="109" ht="31.8" customHeight="1" x14ac:dyDescent="0.3"/>
    <row r="110" ht="14.4" customHeight="1" x14ac:dyDescent="0.3"/>
    <row r="111" ht="15" customHeight="1" x14ac:dyDescent="0.3"/>
    <row r="112" ht="31.8" customHeight="1" x14ac:dyDescent="0.3"/>
    <row r="113" ht="15" customHeight="1" x14ac:dyDescent="0.3"/>
    <row r="114" ht="31.8" customHeight="1" x14ac:dyDescent="0.3"/>
    <row r="115" ht="15" customHeight="1" x14ac:dyDescent="0.3"/>
    <row r="116" ht="31.8" customHeight="1" x14ac:dyDescent="0.3"/>
    <row r="117" ht="15" customHeight="1" x14ac:dyDescent="0.3"/>
    <row r="119" ht="47.4" customHeight="1" x14ac:dyDescent="0.3"/>
    <row r="120" ht="15" customHeight="1" x14ac:dyDescent="0.3"/>
    <row r="121" ht="47.4" customHeight="1" x14ac:dyDescent="0.3"/>
    <row r="122" ht="15" customHeight="1" x14ac:dyDescent="0.3"/>
    <row r="123" ht="47.4" customHeight="1" x14ac:dyDescent="0.3"/>
    <row r="124" ht="15" customHeight="1" x14ac:dyDescent="0.3"/>
    <row r="125" ht="47.4" customHeight="1" x14ac:dyDescent="0.3"/>
    <row r="126" ht="15" customHeight="1" x14ac:dyDescent="0.3"/>
    <row r="127" ht="47.4" customHeight="1" x14ac:dyDescent="0.3"/>
    <row r="128" ht="15" customHeight="1" x14ac:dyDescent="0.3"/>
    <row r="129" ht="14.4" customHeight="1" x14ac:dyDescent="0.3"/>
    <row r="130" ht="14.4" customHeight="1" x14ac:dyDescent="0.3"/>
    <row r="131" ht="14.4" customHeight="1" x14ac:dyDescent="0.3"/>
    <row r="132" ht="14.4" customHeight="1" x14ac:dyDescent="0.3"/>
    <row r="133" ht="15" customHeight="1" x14ac:dyDescent="0.3"/>
    <row r="134" ht="47.4" customHeight="1" x14ac:dyDescent="0.3"/>
    <row r="135" ht="15" customHeight="1" x14ac:dyDescent="0.3"/>
    <row r="136" ht="47.4" customHeight="1" x14ac:dyDescent="0.3"/>
    <row r="137" ht="15" customHeight="1" x14ac:dyDescent="0.3"/>
    <row r="138" ht="47.4" customHeight="1" x14ac:dyDescent="0.3"/>
    <row r="139" ht="15" customHeight="1" x14ac:dyDescent="0.3"/>
    <row r="140" ht="47.4" customHeight="1" x14ac:dyDescent="0.3"/>
    <row r="141" ht="15" customHeight="1" x14ac:dyDescent="0.3"/>
    <row r="142" ht="47.4" customHeight="1" x14ac:dyDescent="0.3"/>
    <row r="143" ht="15" customHeight="1" x14ac:dyDescent="0.3"/>
    <row r="144" ht="14.4" customHeight="1" x14ac:dyDescent="0.3"/>
    <row r="145" ht="14.4" customHeight="1" x14ac:dyDescent="0.3"/>
    <row r="146" ht="14.4" customHeight="1" x14ac:dyDescent="0.3"/>
    <row r="147" ht="14.4" customHeight="1" x14ac:dyDescent="0.3"/>
    <row r="148" ht="15" customHeight="1" x14ac:dyDescent="0.3"/>
    <row r="149" ht="17.399999999999999" customHeight="1" x14ac:dyDescent="0.3"/>
    <row r="150" ht="14.4" customHeight="1" x14ac:dyDescent="0.3"/>
    <row r="151" ht="15" customHeight="1" x14ac:dyDescent="0.3"/>
    <row r="152" ht="31.8" customHeight="1" x14ac:dyDescent="0.3"/>
    <row r="153" ht="15" customHeight="1" x14ac:dyDescent="0.3"/>
    <row r="154" ht="31.8" customHeight="1" x14ac:dyDescent="0.3"/>
    <row r="155" ht="15" customHeight="1" x14ac:dyDescent="0.3"/>
    <row r="156" ht="31.8" customHeight="1" x14ac:dyDescent="0.3"/>
    <row r="157" ht="15" customHeight="1" x14ac:dyDescent="0.3"/>
    <row r="159" ht="14.4" customHeight="1" x14ac:dyDescent="0.3"/>
    <row r="160" ht="14.4" customHeight="1" x14ac:dyDescent="0.3"/>
    <row r="161" ht="15" customHeight="1" x14ac:dyDescent="0.3"/>
    <row r="162" ht="31.8" customHeight="1" x14ac:dyDescent="0.3"/>
    <row r="163" ht="15" customHeight="1" x14ac:dyDescent="0.3"/>
    <row r="164" ht="31.8" customHeight="1" x14ac:dyDescent="0.3"/>
    <row r="165" ht="15" customHeight="1" x14ac:dyDescent="0.3"/>
    <row r="166" ht="31.8" customHeight="1" x14ac:dyDescent="0.3"/>
    <row r="167" ht="15" customHeight="1" x14ac:dyDescent="0.3"/>
    <row r="169" ht="17.399999999999999" customHeight="1" x14ac:dyDescent="0.3"/>
    <row r="170" ht="14.4" customHeight="1" x14ac:dyDescent="0.3"/>
    <row r="171" ht="15" customHeight="1" x14ac:dyDescent="0.3"/>
    <row r="172" ht="31.8" customHeight="1" x14ac:dyDescent="0.3"/>
    <row r="173" ht="15" customHeight="1" x14ac:dyDescent="0.3"/>
    <row r="174" ht="31.8" customHeight="1" x14ac:dyDescent="0.3"/>
    <row r="175" ht="15" customHeight="1" x14ac:dyDescent="0.3"/>
    <row r="176" ht="31.8" customHeight="1" x14ac:dyDescent="0.3"/>
    <row r="177" ht="15" customHeight="1" x14ac:dyDescent="0.3"/>
    <row r="179" ht="17.399999999999999" customHeight="1" x14ac:dyDescent="0.3"/>
    <row r="180" ht="14.4" customHeight="1" x14ac:dyDescent="0.3"/>
    <row r="181" ht="15" customHeight="1" x14ac:dyDescent="0.3"/>
    <row r="182" ht="31.8" customHeight="1" x14ac:dyDescent="0.3"/>
    <row r="183" ht="15" customHeight="1" x14ac:dyDescent="0.3"/>
    <row r="184" ht="31.8" customHeight="1" x14ac:dyDescent="0.3"/>
    <row r="185" ht="15" customHeight="1" x14ac:dyDescent="0.3"/>
    <row r="186" ht="31.8" customHeight="1" x14ac:dyDescent="0.3"/>
    <row r="187" ht="15" customHeight="1" x14ac:dyDescent="0.3"/>
    <row r="189" ht="14.4" customHeight="1" x14ac:dyDescent="0.3"/>
    <row r="190" ht="14.4" customHeight="1" x14ac:dyDescent="0.3"/>
    <row r="191" ht="15" customHeight="1" x14ac:dyDescent="0.3"/>
    <row r="192" ht="31.8" customHeight="1" x14ac:dyDescent="0.3"/>
    <row r="193" ht="15" customHeight="1" x14ac:dyDescent="0.3"/>
    <row r="194" ht="31.8" customHeight="1" x14ac:dyDescent="0.3"/>
    <row r="195" ht="15" customHeight="1" x14ac:dyDescent="0.3"/>
    <row r="196" ht="31.8" customHeight="1" x14ac:dyDescent="0.3"/>
    <row r="197" ht="15" customHeight="1" x14ac:dyDescent="0.3"/>
    <row r="199" ht="14.4" customHeight="1" x14ac:dyDescent="0.3"/>
    <row r="200" ht="14.4" customHeight="1" x14ac:dyDescent="0.3"/>
    <row r="201" ht="15" customHeight="1" x14ac:dyDescent="0.3"/>
    <row r="202" ht="31.8" customHeight="1" x14ac:dyDescent="0.3"/>
    <row r="203" ht="15" customHeight="1" x14ac:dyDescent="0.3"/>
    <row r="204" ht="31.8" customHeight="1" x14ac:dyDescent="0.3"/>
    <row r="205" ht="15" customHeight="1" x14ac:dyDescent="0.3"/>
    <row r="206" ht="31.8" customHeight="1" x14ac:dyDescent="0.3"/>
    <row r="207" ht="15" customHeight="1" x14ac:dyDescent="0.3"/>
    <row r="210" ht="33" customHeight="1" x14ac:dyDescent="0.3"/>
    <row r="211" ht="14.4" customHeight="1" x14ac:dyDescent="0.3"/>
    <row r="212" ht="15" customHeight="1" x14ac:dyDescent="0.3"/>
    <row r="213" ht="47.4" customHeight="1" x14ac:dyDescent="0.3"/>
    <row r="214" ht="15" customHeight="1" x14ac:dyDescent="0.3"/>
    <row r="215" ht="47.4" customHeight="1" x14ac:dyDescent="0.3"/>
    <row r="216" ht="15" customHeight="1" x14ac:dyDescent="0.3"/>
    <row r="217" ht="47.4" customHeight="1" x14ac:dyDescent="0.3"/>
    <row r="218" ht="15" customHeight="1" x14ac:dyDescent="0.3"/>
    <row r="220" ht="47.4" customHeight="1" x14ac:dyDescent="0.3"/>
    <row r="221" ht="15" customHeight="1" x14ac:dyDescent="0.3"/>
    <row r="222" ht="47.4" customHeight="1" x14ac:dyDescent="0.3"/>
    <row r="223" ht="15" customHeight="1" x14ac:dyDescent="0.3"/>
    <row r="224" ht="47.4" customHeight="1" x14ac:dyDescent="0.3"/>
    <row r="225" ht="15" customHeight="1" x14ac:dyDescent="0.3"/>
    <row r="226" ht="47.4" customHeight="1" x14ac:dyDescent="0.3"/>
    <row r="227" ht="15" customHeight="1" x14ac:dyDescent="0.3"/>
    <row r="228" ht="47.4" customHeight="1" x14ac:dyDescent="0.3"/>
    <row r="229" ht="15" customHeight="1" x14ac:dyDescent="0.3"/>
  </sheetData>
  <mergeCells count="23">
    <mergeCell ref="B24:B25"/>
    <mergeCell ref="C29:S29"/>
    <mergeCell ref="B30:B33"/>
    <mergeCell ref="B34:B36"/>
    <mergeCell ref="B37:B38"/>
    <mergeCell ref="B5:B8"/>
    <mergeCell ref="B9:B11"/>
    <mergeCell ref="B12:B13"/>
    <mergeCell ref="C16:S16"/>
    <mergeCell ref="B17:B20"/>
    <mergeCell ref="B21:B23"/>
    <mergeCell ref="AP3:AP4"/>
    <mergeCell ref="AQ3:BG3"/>
    <mergeCell ref="BH3:BH4"/>
    <mergeCell ref="BJ3:BJ4"/>
    <mergeCell ref="BK3:CA3"/>
    <mergeCell ref="CB3:CB4"/>
    <mergeCell ref="B3:B4"/>
    <mergeCell ref="C3:S3"/>
    <mergeCell ref="T3:T4"/>
    <mergeCell ref="V3:V4"/>
    <mergeCell ref="W3:AM3"/>
    <mergeCell ref="AN3:AN4"/>
  </mergeCells>
  <conditionalFormatting sqref="W4:AE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M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Y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BG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S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4:CA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K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S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AM57 BK5:BP5 BR5:CA5 BK6:BO6 BQ6:CA6 BK7:BN7 BP7:CA7 BW9:CA9 BK9:BU9 BR8:CA8 BK8:BP8 BK10:BO10 BQ10:CA10 BY11:CA11 BK11:BW11 BK12:BL12 BN12:CA12 BK13:CA13 BK14:BZ15 BV16:CA16 BK16:BT16 BP17:CA17 BK17:BN17 BZ18:CA18 BK18:BX18 BW19:CA19 BT19:BU19 BK19:BR19 BK20:CA23 BY24:CA24 BK24:BW24 BK25:BL25 BN25:BP25 BR25:CA25 BL26:CA26 AQ5:BG25 BD26:BG26 AR26:BB26 BK27:BM27 BO27:CA27 BT28:CA28 BK28:BP28 BR28 BZ29:CA29 BK29:BX29 BK30:CA30 BZ31:CA33 BK31:BX33 BX34:CA34 BK34:BV34 BR35:CA35 BK35:BP35 BV36:CA36 BK36:BT36 BN37:CA37 BK37:BL37 BK38:BN38 BP38:CA38 AQ27:BG38 AQ40:BG57 AR39:BG39 BL39:CA39 BY40:CA40 BK40:BW40 BK41:CA49 BT50:CA52 BK50:BR52 BK54:CA57 BK53:BT53 BV53:CA53">
    <cfRule type="containsText" dxfId="60" priority="34" operator="containsText" text="v">
      <formula>NOT(ISERROR(SEARCH("v",W5)))</formula>
    </cfRule>
  </conditionalFormatting>
  <conditionalFormatting sqref="Q5">
    <cfRule type="containsText" dxfId="29" priority="30" operator="containsText" text="v">
      <formula>NOT(ISERROR(SEARCH("v",Q5)))</formula>
    </cfRule>
  </conditionalFormatting>
  <conditionalFormatting sqref="O6">
    <cfRule type="containsText" dxfId="28" priority="29" operator="containsText" text="v">
      <formula>NOT(ISERROR(SEARCH("v",O6)))</formula>
    </cfRule>
  </conditionalFormatting>
  <conditionalFormatting sqref="F7">
    <cfRule type="containsText" dxfId="27" priority="28" operator="containsText" text="v">
      <formula>NOT(ISERROR(SEARCH("v",F7)))</formula>
    </cfRule>
  </conditionalFormatting>
  <conditionalFormatting sqref="N8">
    <cfRule type="containsText" dxfId="26" priority="27" operator="containsText" text="v">
      <formula>NOT(ISERROR(SEARCH("v",N8)))</formula>
    </cfRule>
  </conditionalFormatting>
  <conditionalFormatting sqref="F9">
    <cfRule type="containsText" dxfId="25" priority="26" operator="containsText" text="v">
      <formula>NOT(ISERROR(SEARCH("v",F9)))</formula>
    </cfRule>
  </conditionalFormatting>
  <conditionalFormatting sqref="J10">
    <cfRule type="containsText" dxfId="24" priority="25" operator="containsText" text="v">
      <formula>NOT(ISERROR(SEARCH("v",J10)))</formula>
    </cfRule>
  </conditionalFormatting>
  <conditionalFormatting sqref="D11">
    <cfRule type="containsText" dxfId="23" priority="24" operator="containsText" text="v">
      <formula>NOT(ISERROR(SEARCH("v",D11)))</formula>
    </cfRule>
  </conditionalFormatting>
  <conditionalFormatting sqref="H12">
    <cfRule type="containsText" dxfId="22" priority="23" operator="containsText" text="v">
      <formula>NOT(ISERROR(SEARCH("v",H12)))</formula>
    </cfRule>
  </conditionalFormatting>
  <conditionalFormatting sqref="F13">
    <cfRule type="containsText" dxfId="21" priority="22" operator="containsText" text="v">
      <formula>NOT(ISERROR(SEARCH("v",F13)))</formula>
    </cfRule>
  </conditionalFormatting>
  <conditionalFormatting sqref="Q14">
    <cfRule type="containsText" dxfId="20" priority="21" operator="containsText" text="v">
      <formula>NOT(ISERROR(SEARCH("v",Q14)))</formula>
    </cfRule>
  </conditionalFormatting>
  <conditionalFormatting sqref="O17">
    <cfRule type="containsText" dxfId="19" priority="20" operator="containsText" text="v">
      <formula>NOT(ISERROR(SEARCH("v",O17)))</formula>
    </cfRule>
  </conditionalFormatting>
  <conditionalFormatting sqref="G18">
    <cfRule type="containsText" dxfId="18" priority="19" operator="containsText" text="v">
      <formula>NOT(ISERROR(SEARCH("v",G18)))</formula>
    </cfRule>
  </conditionalFormatting>
  <conditionalFormatting sqref="C19">
    <cfRule type="containsText" dxfId="17" priority="18" operator="containsText" text="v">
      <formula>NOT(ISERROR(SEARCH("v",C19)))</formula>
    </cfRule>
  </conditionalFormatting>
  <conditionalFormatting sqref="H21">
    <cfRule type="containsText" dxfId="16" priority="17" operator="containsText" text="v">
      <formula>NOT(ISERROR(SEARCH("v",H21)))</formula>
    </cfRule>
  </conditionalFormatting>
  <conditionalFormatting sqref="Q20">
    <cfRule type="containsText" dxfId="15" priority="16" operator="containsText" text="v">
      <formula>NOT(ISERROR(SEARCH("v",Q20)))</formula>
    </cfRule>
  </conditionalFormatting>
  <conditionalFormatting sqref="D22">
    <cfRule type="containsText" dxfId="14" priority="15" operator="containsText" text="v">
      <formula>NOT(ISERROR(SEARCH("v",D22)))</formula>
    </cfRule>
  </conditionalFormatting>
  <conditionalFormatting sqref="K23">
    <cfRule type="containsText" dxfId="13" priority="14" operator="containsText" text="v">
      <formula>NOT(ISERROR(SEARCH("v",K23)))</formula>
    </cfRule>
  </conditionalFormatting>
  <conditionalFormatting sqref="F24">
    <cfRule type="containsText" dxfId="12" priority="13" operator="containsText" text="v">
      <formula>NOT(ISERROR(SEARCH("v",F24)))</formula>
    </cfRule>
  </conditionalFormatting>
  <conditionalFormatting sqref="H25">
    <cfRule type="containsText" dxfId="11" priority="12" operator="containsText" text="v">
      <formula>NOT(ISERROR(SEARCH("v",H25)))</formula>
    </cfRule>
  </conditionalFormatting>
  <conditionalFormatting sqref="P26">
    <cfRule type="containsText" dxfId="10" priority="11" operator="containsText" text="v">
      <formula>NOT(ISERROR(SEARCH("v",P26)))</formula>
    </cfRule>
  </conditionalFormatting>
  <conditionalFormatting sqref="S30">
    <cfRule type="containsText" dxfId="9" priority="10" operator="containsText" text="v">
      <formula>NOT(ISERROR(SEARCH("v",S30)))</formula>
    </cfRule>
  </conditionalFormatting>
  <conditionalFormatting sqref="P31">
    <cfRule type="containsText" dxfId="8" priority="9" operator="containsText" text="v">
      <formula>NOT(ISERROR(SEARCH("v",P31)))</formula>
    </cfRule>
  </conditionalFormatting>
  <conditionalFormatting sqref="P33">
    <cfRule type="containsText" dxfId="7" priority="8" operator="containsText" text="v">
      <formula>NOT(ISERROR(SEARCH("v",P33)))</formula>
    </cfRule>
  </conditionalFormatting>
  <conditionalFormatting sqref="F32">
    <cfRule type="containsText" dxfId="6" priority="7" operator="containsText" text="v">
      <formula>NOT(ISERROR(SEARCH("v",F32)))</formula>
    </cfRule>
  </conditionalFormatting>
  <conditionalFormatting sqref="I34">
    <cfRule type="containsText" dxfId="5" priority="6" operator="containsText" text="v">
      <formula>NOT(ISERROR(SEARCH("v",I34)))</formula>
    </cfRule>
  </conditionalFormatting>
  <conditionalFormatting sqref="E35">
    <cfRule type="containsText" dxfId="4" priority="5" operator="containsText" text="v">
      <formula>NOT(ISERROR(SEARCH("v",E35)))</formula>
    </cfRule>
  </conditionalFormatting>
  <conditionalFormatting sqref="K36">
    <cfRule type="containsText" dxfId="3" priority="4" operator="containsText" text="v">
      <formula>NOT(ISERROR(SEARCH("v",K36)))</formula>
    </cfRule>
  </conditionalFormatting>
  <conditionalFormatting sqref="H37">
    <cfRule type="containsText" dxfId="2" priority="3" operator="containsText" text="v">
      <formula>NOT(ISERROR(SEARCH("v",H37)))</formula>
    </cfRule>
  </conditionalFormatting>
  <conditionalFormatting sqref="M38">
    <cfRule type="containsText" dxfId="1" priority="2" operator="containsText" text="v">
      <formula>NOT(ISERROR(SEARCH("v",M38)))</formula>
    </cfRule>
  </conditionalFormatting>
  <conditionalFormatting sqref="Q39">
    <cfRule type="containsText" dxfId="0" priority="1" operator="containsText" text="v">
      <formula>NOT(ISERROR(SEARCH("v",Q39)))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9501-5E41-4405-8A9E-BC2ADDE27541}">
  <dimension ref="B1:AN30"/>
  <sheetViews>
    <sheetView tabSelected="1" zoomScale="80" zoomScaleNormal="80" workbookViewId="0">
      <pane ySplit="11" topLeftCell="A12" activePane="bottomLeft" state="frozen"/>
      <selection pane="bottomLeft" activeCell="N14" sqref="N14"/>
    </sheetView>
  </sheetViews>
  <sheetFormatPr defaultRowHeight="14.4" x14ac:dyDescent="0.3"/>
  <cols>
    <col min="1" max="1" width="9" style="9" customWidth="1"/>
    <col min="2" max="2" width="8.88671875" style="9"/>
    <col min="3" max="3" width="49.21875" style="9" customWidth="1"/>
    <col min="4" max="13" width="5.6640625" style="9" customWidth="1"/>
    <col min="14" max="15" width="8.88671875" style="9"/>
    <col min="16" max="16" width="51" style="9" customWidth="1"/>
    <col min="17" max="26" width="5.6640625" style="9" customWidth="1"/>
    <col min="27" max="28" width="8.88671875" style="9"/>
    <col min="29" max="29" width="54.77734375" style="9" customWidth="1"/>
    <col min="30" max="39" width="5.6640625" style="9" customWidth="1"/>
    <col min="40" max="16384" width="8.88671875" style="9"/>
  </cols>
  <sheetData>
    <row r="1" spans="2:40" ht="15" thickBot="1" x14ac:dyDescent="0.35">
      <c r="B1" s="97" t="s">
        <v>104</v>
      </c>
      <c r="O1" s="97" t="s">
        <v>104</v>
      </c>
      <c r="AB1" s="97" t="s">
        <v>104</v>
      </c>
    </row>
    <row r="2" spans="2:40" ht="16.2" thickBot="1" x14ac:dyDescent="0.35">
      <c r="B2" s="95" t="s">
        <v>98</v>
      </c>
      <c r="C2" s="11" t="s">
        <v>11</v>
      </c>
      <c r="O2" s="95" t="s">
        <v>98</v>
      </c>
      <c r="P2" s="11" t="s">
        <v>11</v>
      </c>
      <c r="AB2" s="95" t="s">
        <v>98</v>
      </c>
      <c r="AC2" s="11" t="s">
        <v>11</v>
      </c>
    </row>
    <row r="3" spans="2:40" ht="16.2" thickBot="1" x14ac:dyDescent="0.35">
      <c r="B3" s="10">
        <v>5</v>
      </c>
      <c r="C3" s="94" t="s">
        <v>99</v>
      </c>
      <c r="O3" s="10">
        <v>5</v>
      </c>
      <c r="P3" s="94" t="s">
        <v>99</v>
      </c>
      <c r="AB3" s="10">
        <v>5</v>
      </c>
      <c r="AC3" s="94" t="s">
        <v>99</v>
      </c>
    </row>
    <row r="4" spans="2:40" ht="16.2" thickBot="1" x14ac:dyDescent="0.35">
      <c r="B4" s="10">
        <v>4</v>
      </c>
      <c r="C4" s="94" t="s">
        <v>100</v>
      </c>
      <c r="O4" s="10">
        <v>4</v>
      </c>
      <c r="P4" s="94" t="s">
        <v>100</v>
      </c>
      <c r="AB4" s="10">
        <v>4</v>
      </c>
      <c r="AC4" s="94" t="s">
        <v>100</v>
      </c>
    </row>
    <row r="5" spans="2:40" ht="16.2" thickBot="1" x14ac:dyDescent="0.35">
      <c r="B5" s="10">
        <v>3</v>
      </c>
      <c r="C5" s="94" t="s">
        <v>101</v>
      </c>
      <c r="O5" s="10">
        <v>3</v>
      </c>
      <c r="P5" s="94" t="s">
        <v>101</v>
      </c>
      <c r="AB5" s="10">
        <v>3</v>
      </c>
      <c r="AC5" s="94" t="s">
        <v>101</v>
      </c>
    </row>
    <row r="6" spans="2:40" ht="16.2" thickBot="1" x14ac:dyDescent="0.35">
      <c r="B6" s="10">
        <v>2</v>
      </c>
      <c r="C6" s="94" t="s">
        <v>102</v>
      </c>
      <c r="O6" s="10">
        <v>2</v>
      </c>
      <c r="P6" s="94" t="s">
        <v>102</v>
      </c>
      <c r="AB6" s="10">
        <v>2</v>
      </c>
      <c r="AC6" s="94" t="s">
        <v>102</v>
      </c>
    </row>
    <row r="7" spans="2:40" ht="16.2" thickBot="1" x14ac:dyDescent="0.35">
      <c r="B7" s="10">
        <v>1</v>
      </c>
      <c r="C7" s="94" t="s">
        <v>103</v>
      </c>
      <c r="O7" s="10">
        <v>1</v>
      </c>
      <c r="P7" s="94" t="s">
        <v>103</v>
      </c>
      <c r="AB7" s="10">
        <v>1</v>
      </c>
      <c r="AC7" s="94" t="s">
        <v>103</v>
      </c>
    </row>
    <row r="8" spans="2:40" ht="15.6" x14ac:dyDescent="0.3">
      <c r="B8" s="96"/>
      <c r="C8" s="96"/>
    </row>
    <row r="9" spans="2:40" ht="15.6" thickBot="1" x14ac:dyDescent="0.35">
      <c r="B9" s="99" t="s">
        <v>112</v>
      </c>
      <c r="C9" s="99"/>
      <c r="D9" s="99"/>
      <c r="E9" s="99"/>
      <c r="O9" s="151" t="s">
        <v>111</v>
      </c>
      <c r="P9" s="151"/>
      <c r="Q9" s="151"/>
      <c r="R9" s="151"/>
      <c r="AB9" s="99" t="s">
        <v>113</v>
      </c>
      <c r="AC9" s="99"/>
      <c r="AD9" s="99"/>
      <c r="AE9" s="99"/>
    </row>
    <row r="10" spans="2:40" ht="15" customHeight="1" thickBot="1" x14ac:dyDescent="0.35">
      <c r="B10" s="42" t="s">
        <v>71</v>
      </c>
      <c r="C10" s="42" t="s">
        <v>72</v>
      </c>
      <c r="D10" s="39" t="s">
        <v>73</v>
      </c>
      <c r="E10" s="40"/>
      <c r="F10" s="40"/>
      <c r="G10" s="40"/>
      <c r="H10" s="40"/>
      <c r="I10" s="40"/>
      <c r="J10" s="40"/>
      <c r="K10" s="40"/>
      <c r="L10" s="40"/>
      <c r="M10" s="41"/>
      <c r="O10" s="42" t="s">
        <v>71</v>
      </c>
      <c r="P10" s="42" t="s">
        <v>72</v>
      </c>
      <c r="Q10" s="39" t="s">
        <v>73</v>
      </c>
      <c r="R10" s="40"/>
      <c r="S10" s="40"/>
      <c r="T10" s="40"/>
      <c r="U10" s="40"/>
      <c r="V10" s="40"/>
      <c r="W10" s="40"/>
      <c r="X10" s="40"/>
      <c r="Y10" s="40"/>
      <c r="Z10" s="41"/>
      <c r="AB10" s="42" t="s">
        <v>71</v>
      </c>
      <c r="AC10" s="42" t="s">
        <v>72</v>
      </c>
      <c r="AD10" s="39" t="s">
        <v>73</v>
      </c>
      <c r="AE10" s="40"/>
      <c r="AF10" s="40"/>
      <c r="AG10" s="40"/>
      <c r="AH10" s="40"/>
      <c r="AI10" s="40"/>
      <c r="AJ10" s="40"/>
      <c r="AK10" s="40"/>
      <c r="AL10" s="40"/>
      <c r="AM10" s="41"/>
    </row>
    <row r="11" spans="2:40" ht="15" thickBot="1" x14ac:dyDescent="0.35">
      <c r="B11" s="43"/>
      <c r="C11" s="43"/>
      <c r="D11" s="36" t="s">
        <v>1</v>
      </c>
      <c r="E11" s="36" t="s">
        <v>2</v>
      </c>
      <c r="F11" s="36" t="s">
        <v>3</v>
      </c>
      <c r="G11" s="36" t="s">
        <v>4</v>
      </c>
      <c r="H11" s="36" t="s">
        <v>5</v>
      </c>
      <c r="I11" s="36" t="s">
        <v>6</v>
      </c>
      <c r="J11" s="36" t="s">
        <v>7</v>
      </c>
      <c r="K11" s="36" t="s">
        <v>8</v>
      </c>
      <c r="L11" s="36" t="s">
        <v>9</v>
      </c>
      <c r="M11" s="36" t="s">
        <v>10</v>
      </c>
      <c r="O11" s="150"/>
      <c r="P11" s="150"/>
      <c r="Q11" s="36" t="s">
        <v>1</v>
      </c>
      <c r="R11" s="36" t="s">
        <v>2</v>
      </c>
      <c r="S11" s="36" t="s">
        <v>3</v>
      </c>
      <c r="T11" s="36" t="s">
        <v>4</v>
      </c>
      <c r="U11" s="36" t="s">
        <v>5</v>
      </c>
      <c r="V11" s="36" t="s">
        <v>6</v>
      </c>
      <c r="W11" s="36" t="s">
        <v>7</v>
      </c>
      <c r="X11" s="36" t="s">
        <v>8</v>
      </c>
      <c r="Y11" s="36" t="s">
        <v>9</v>
      </c>
      <c r="Z11" s="36" t="s">
        <v>10</v>
      </c>
      <c r="AB11" s="43"/>
      <c r="AC11" s="43"/>
      <c r="AD11" s="36" t="s">
        <v>1</v>
      </c>
      <c r="AE11" s="36" t="s">
        <v>2</v>
      </c>
      <c r="AF11" s="36" t="s">
        <v>3</v>
      </c>
      <c r="AG11" s="36" t="s">
        <v>4</v>
      </c>
      <c r="AH11" s="36" t="s">
        <v>5</v>
      </c>
      <c r="AI11" s="36" t="s">
        <v>6</v>
      </c>
      <c r="AJ11" s="36" t="s">
        <v>7</v>
      </c>
      <c r="AK11" s="36" t="s">
        <v>8</v>
      </c>
      <c r="AL11" s="36" t="s">
        <v>9</v>
      </c>
      <c r="AM11" s="36" t="s">
        <v>10</v>
      </c>
    </row>
    <row r="12" spans="2:40" ht="40.799999999999997" customHeight="1" thickBot="1" x14ac:dyDescent="0.35">
      <c r="B12" s="88">
        <v>1</v>
      </c>
      <c r="C12" s="89" t="s">
        <v>75</v>
      </c>
      <c r="D12" s="20">
        <v>2</v>
      </c>
      <c r="E12" s="20">
        <v>2</v>
      </c>
      <c r="F12" s="20">
        <v>3</v>
      </c>
      <c r="G12" s="20">
        <v>2</v>
      </c>
      <c r="H12" s="20">
        <v>4</v>
      </c>
      <c r="I12" s="20">
        <v>4</v>
      </c>
      <c r="J12" s="20">
        <v>1</v>
      </c>
      <c r="K12" s="20">
        <v>2</v>
      </c>
      <c r="L12" s="20">
        <v>4</v>
      </c>
      <c r="M12" s="20">
        <v>3</v>
      </c>
      <c r="N12" s="9" t="s">
        <v>105</v>
      </c>
      <c r="O12" s="88">
        <v>1</v>
      </c>
      <c r="P12" s="89" t="s">
        <v>75</v>
      </c>
      <c r="Q12" s="20">
        <v>1</v>
      </c>
      <c r="R12" s="20">
        <v>5</v>
      </c>
      <c r="S12" s="20">
        <v>3</v>
      </c>
      <c r="T12" s="20">
        <v>5</v>
      </c>
      <c r="U12" s="20">
        <v>2</v>
      </c>
      <c r="V12" s="20">
        <v>1</v>
      </c>
      <c r="W12" s="20">
        <v>5</v>
      </c>
      <c r="X12" s="20">
        <v>2</v>
      </c>
      <c r="Y12" s="20">
        <v>3</v>
      </c>
      <c r="Z12" s="20">
        <v>3</v>
      </c>
      <c r="AB12" s="88">
        <v>1</v>
      </c>
      <c r="AC12" s="89" t="s">
        <v>75</v>
      </c>
      <c r="AD12" s="20">
        <v>2</v>
      </c>
      <c r="AE12" s="20">
        <v>2</v>
      </c>
      <c r="AF12" s="20">
        <v>3</v>
      </c>
      <c r="AG12" s="20">
        <v>3</v>
      </c>
      <c r="AH12" s="20">
        <v>3</v>
      </c>
      <c r="AI12" s="20">
        <v>2</v>
      </c>
      <c r="AJ12" s="20">
        <v>1</v>
      </c>
      <c r="AK12" s="20">
        <v>4</v>
      </c>
      <c r="AL12" s="20">
        <v>3</v>
      </c>
      <c r="AM12" s="20">
        <v>4</v>
      </c>
      <c r="AN12" s="9" t="s">
        <v>105</v>
      </c>
    </row>
    <row r="13" spans="2:40" ht="40.799999999999997" customHeight="1" thickBot="1" x14ac:dyDescent="0.35">
      <c r="B13" s="90">
        <v>2</v>
      </c>
      <c r="C13" s="91" t="s">
        <v>76</v>
      </c>
      <c r="D13" s="20">
        <v>3</v>
      </c>
      <c r="E13" s="20">
        <v>4</v>
      </c>
      <c r="F13" s="20">
        <v>2</v>
      </c>
      <c r="G13" s="20">
        <v>3</v>
      </c>
      <c r="H13" s="20">
        <v>1</v>
      </c>
      <c r="I13" s="20">
        <v>4</v>
      </c>
      <c r="J13" s="20">
        <v>3</v>
      </c>
      <c r="K13" s="20">
        <v>3</v>
      </c>
      <c r="L13" s="20">
        <v>1</v>
      </c>
      <c r="M13" s="20">
        <v>2</v>
      </c>
      <c r="O13" s="90">
        <v>2</v>
      </c>
      <c r="P13" s="91" t="s">
        <v>76</v>
      </c>
      <c r="Q13" s="20">
        <v>1</v>
      </c>
      <c r="R13" s="20">
        <v>3</v>
      </c>
      <c r="S13" s="20">
        <v>4</v>
      </c>
      <c r="T13" s="20">
        <v>2</v>
      </c>
      <c r="U13" s="20">
        <v>4</v>
      </c>
      <c r="V13" s="20">
        <v>4</v>
      </c>
      <c r="W13" s="20">
        <v>3</v>
      </c>
      <c r="X13" s="20">
        <v>3</v>
      </c>
      <c r="Y13" s="20">
        <v>1</v>
      </c>
      <c r="Z13" s="20">
        <v>2</v>
      </c>
      <c r="AB13" s="90">
        <v>2</v>
      </c>
      <c r="AC13" s="91" t="s">
        <v>76</v>
      </c>
      <c r="AD13" s="20">
        <v>1</v>
      </c>
      <c r="AE13" s="20">
        <v>1</v>
      </c>
      <c r="AF13" s="20">
        <v>5</v>
      </c>
      <c r="AG13" s="20">
        <v>5</v>
      </c>
      <c r="AH13" s="20">
        <v>5</v>
      </c>
      <c r="AI13" s="20">
        <v>3</v>
      </c>
      <c r="AJ13" s="20">
        <v>1</v>
      </c>
      <c r="AK13" s="20">
        <v>5</v>
      </c>
      <c r="AL13" s="20">
        <v>3</v>
      </c>
      <c r="AM13" s="20">
        <v>5</v>
      </c>
    </row>
    <row r="14" spans="2:40" ht="40.799999999999997" customHeight="1" thickBot="1" x14ac:dyDescent="0.35">
      <c r="B14" s="90">
        <v>3</v>
      </c>
      <c r="C14" s="91" t="s">
        <v>77</v>
      </c>
      <c r="D14" s="20">
        <v>1</v>
      </c>
      <c r="E14" s="20">
        <v>4</v>
      </c>
      <c r="F14" s="20">
        <v>1</v>
      </c>
      <c r="G14" s="20">
        <v>4</v>
      </c>
      <c r="H14" s="20">
        <v>5</v>
      </c>
      <c r="I14" s="20">
        <v>3</v>
      </c>
      <c r="J14" s="20">
        <v>5</v>
      </c>
      <c r="K14" s="20">
        <v>2</v>
      </c>
      <c r="L14" s="20">
        <v>2</v>
      </c>
      <c r="M14" s="20">
        <v>4</v>
      </c>
      <c r="O14" s="90">
        <v>3</v>
      </c>
      <c r="P14" s="91" t="s">
        <v>77</v>
      </c>
      <c r="Q14" s="20">
        <v>2</v>
      </c>
      <c r="R14" s="20">
        <v>4</v>
      </c>
      <c r="S14" s="20">
        <v>5</v>
      </c>
      <c r="T14" s="20">
        <v>1</v>
      </c>
      <c r="U14" s="20">
        <v>1</v>
      </c>
      <c r="V14" s="20">
        <v>5</v>
      </c>
      <c r="W14" s="20">
        <v>4</v>
      </c>
      <c r="X14" s="20">
        <v>5</v>
      </c>
      <c r="Y14" s="20">
        <v>1</v>
      </c>
      <c r="Z14" s="20">
        <v>4</v>
      </c>
      <c r="AB14" s="90">
        <v>3</v>
      </c>
      <c r="AC14" s="91" t="s">
        <v>77</v>
      </c>
      <c r="AD14" s="20">
        <v>5</v>
      </c>
      <c r="AE14" s="20">
        <v>5</v>
      </c>
      <c r="AF14" s="20">
        <v>5</v>
      </c>
      <c r="AG14" s="20">
        <v>5</v>
      </c>
      <c r="AH14" s="20">
        <v>2</v>
      </c>
      <c r="AI14" s="20">
        <v>3</v>
      </c>
      <c r="AJ14" s="20">
        <v>5</v>
      </c>
      <c r="AK14" s="20">
        <v>1</v>
      </c>
      <c r="AL14" s="20">
        <v>4</v>
      </c>
      <c r="AM14" s="20">
        <v>3</v>
      </c>
    </row>
    <row r="15" spans="2:40" ht="40.799999999999997" customHeight="1" thickBot="1" x14ac:dyDescent="0.35">
      <c r="B15" s="90">
        <v>4</v>
      </c>
      <c r="C15" s="91" t="s">
        <v>94</v>
      </c>
      <c r="D15" s="20">
        <v>3</v>
      </c>
      <c r="E15" s="20">
        <v>1</v>
      </c>
      <c r="F15" s="20">
        <v>2</v>
      </c>
      <c r="G15" s="20">
        <v>5</v>
      </c>
      <c r="H15" s="20">
        <v>5</v>
      </c>
      <c r="I15" s="20">
        <v>5</v>
      </c>
      <c r="J15" s="20">
        <v>2</v>
      </c>
      <c r="K15" s="20">
        <v>2</v>
      </c>
      <c r="L15" s="20">
        <v>5</v>
      </c>
      <c r="M15" s="20">
        <v>1</v>
      </c>
      <c r="O15" s="90">
        <v>4</v>
      </c>
      <c r="P15" s="91" t="s">
        <v>94</v>
      </c>
      <c r="Q15" s="20">
        <v>5</v>
      </c>
      <c r="R15" s="20">
        <v>4</v>
      </c>
      <c r="S15" s="20">
        <v>2</v>
      </c>
      <c r="T15" s="20">
        <v>2</v>
      </c>
      <c r="U15" s="20">
        <v>2</v>
      </c>
      <c r="V15" s="20">
        <v>2</v>
      </c>
      <c r="W15" s="20">
        <v>1</v>
      </c>
      <c r="X15" s="20">
        <v>2</v>
      </c>
      <c r="Y15" s="20">
        <v>4</v>
      </c>
      <c r="Z15" s="20">
        <v>1</v>
      </c>
      <c r="AB15" s="90">
        <v>4</v>
      </c>
      <c r="AC15" s="91" t="s">
        <v>94</v>
      </c>
      <c r="AD15" s="20">
        <v>1</v>
      </c>
      <c r="AE15" s="20">
        <v>4</v>
      </c>
      <c r="AF15" s="20">
        <v>1</v>
      </c>
      <c r="AG15" s="20">
        <v>5</v>
      </c>
      <c r="AH15" s="20">
        <v>1</v>
      </c>
      <c r="AI15" s="20">
        <v>3</v>
      </c>
      <c r="AJ15" s="20">
        <v>4</v>
      </c>
      <c r="AK15" s="20">
        <v>3</v>
      </c>
      <c r="AL15" s="20">
        <v>3</v>
      </c>
      <c r="AM15" s="20">
        <v>2</v>
      </c>
    </row>
    <row r="16" spans="2:40" ht="40.799999999999997" customHeight="1" thickBot="1" x14ac:dyDescent="0.35">
      <c r="B16" s="90">
        <v>5</v>
      </c>
      <c r="C16" s="91" t="s">
        <v>78</v>
      </c>
      <c r="D16" s="20">
        <v>5</v>
      </c>
      <c r="E16" s="20">
        <v>4</v>
      </c>
      <c r="F16" s="20">
        <v>5</v>
      </c>
      <c r="G16" s="20">
        <v>1</v>
      </c>
      <c r="H16" s="20">
        <v>5</v>
      </c>
      <c r="I16" s="20">
        <v>3</v>
      </c>
      <c r="J16" s="20">
        <v>5</v>
      </c>
      <c r="K16" s="20">
        <v>1</v>
      </c>
      <c r="L16" s="20">
        <v>4</v>
      </c>
      <c r="M16" s="20">
        <v>1</v>
      </c>
      <c r="O16" s="90">
        <v>5</v>
      </c>
      <c r="P16" s="91" t="s">
        <v>78</v>
      </c>
      <c r="Q16" s="20">
        <v>4</v>
      </c>
      <c r="R16" s="20">
        <v>2</v>
      </c>
      <c r="S16" s="20">
        <v>5</v>
      </c>
      <c r="T16" s="20">
        <v>2</v>
      </c>
      <c r="U16" s="20">
        <v>3</v>
      </c>
      <c r="V16" s="20">
        <v>5</v>
      </c>
      <c r="W16" s="20">
        <v>1</v>
      </c>
      <c r="X16" s="20">
        <v>2</v>
      </c>
      <c r="Y16" s="20">
        <v>1</v>
      </c>
      <c r="Z16" s="20">
        <v>3</v>
      </c>
      <c r="AB16" s="90">
        <v>5</v>
      </c>
      <c r="AC16" s="91" t="s">
        <v>78</v>
      </c>
      <c r="AD16" s="20">
        <v>2</v>
      </c>
      <c r="AE16" s="20">
        <v>2</v>
      </c>
      <c r="AF16" s="20">
        <v>3</v>
      </c>
      <c r="AG16" s="20">
        <v>3</v>
      </c>
      <c r="AH16" s="20">
        <v>2</v>
      </c>
      <c r="AI16" s="20">
        <v>1</v>
      </c>
      <c r="AJ16" s="20">
        <v>4</v>
      </c>
      <c r="AK16" s="20">
        <v>1</v>
      </c>
      <c r="AL16" s="20">
        <v>1</v>
      </c>
      <c r="AM16" s="20">
        <v>4</v>
      </c>
    </row>
    <row r="17" spans="2:39" ht="40.799999999999997" customHeight="1" thickBot="1" x14ac:dyDescent="0.35">
      <c r="B17" s="90">
        <v>6</v>
      </c>
      <c r="C17" s="91" t="s">
        <v>79</v>
      </c>
      <c r="D17" s="20">
        <v>4</v>
      </c>
      <c r="E17" s="20">
        <v>1</v>
      </c>
      <c r="F17" s="20">
        <v>4</v>
      </c>
      <c r="G17" s="20">
        <v>2</v>
      </c>
      <c r="H17" s="20">
        <v>5</v>
      </c>
      <c r="I17" s="20">
        <v>5</v>
      </c>
      <c r="J17" s="20">
        <v>1</v>
      </c>
      <c r="K17" s="20">
        <v>1</v>
      </c>
      <c r="L17" s="20">
        <v>5</v>
      </c>
      <c r="M17" s="20">
        <v>2</v>
      </c>
      <c r="O17" s="90">
        <v>6</v>
      </c>
      <c r="P17" s="91" t="s">
        <v>79</v>
      </c>
      <c r="Q17" s="20">
        <v>3</v>
      </c>
      <c r="R17" s="20">
        <v>4</v>
      </c>
      <c r="S17" s="20">
        <v>2</v>
      </c>
      <c r="T17" s="20">
        <v>3</v>
      </c>
      <c r="U17" s="20">
        <v>3</v>
      </c>
      <c r="V17" s="20">
        <v>5</v>
      </c>
      <c r="W17" s="20">
        <v>4</v>
      </c>
      <c r="X17" s="20">
        <v>1</v>
      </c>
      <c r="Y17" s="20">
        <v>1</v>
      </c>
      <c r="Z17" s="20">
        <v>2</v>
      </c>
      <c r="AB17" s="90">
        <v>6</v>
      </c>
      <c r="AC17" s="91" t="s">
        <v>79</v>
      </c>
      <c r="AD17" s="20">
        <v>4</v>
      </c>
      <c r="AE17" s="20">
        <v>2</v>
      </c>
      <c r="AF17" s="20">
        <v>3</v>
      </c>
      <c r="AG17" s="20">
        <v>2</v>
      </c>
      <c r="AH17" s="20">
        <v>3</v>
      </c>
      <c r="AI17" s="20">
        <v>1</v>
      </c>
      <c r="AJ17" s="20">
        <v>1</v>
      </c>
      <c r="AK17" s="20">
        <v>3</v>
      </c>
      <c r="AL17" s="20">
        <v>1</v>
      </c>
      <c r="AM17" s="20">
        <v>1</v>
      </c>
    </row>
    <row r="18" spans="2:39" ht="40.799999999999997" customHeight="1" thickBot="1" x14ac:dyDescent="0.35">
      <c r="B18" s="90">
        <v>7</v>
      </c>
      <c r="C18" s="91" t="s">
        <v>95</v>
      </c>
      <c r="D18" s="20">
        <v>2</v>
      </c>
      <c r="E18" s="20">
        <v>5</v>
      </c>
      <c r="F18" s="20">
        <v>2</v>
      </c>
      <c r="G18" s="20">
        <v>3</v>
      </c>
      <c r="H18" s="20">
        <v>1</v>
      </c>
      <c r="I18" s="20">
        <v>3</v>
      </c>
      <c r="J18" s="20">
        <v>4</v>
      </c>
      <c r="K18" s="20">
        <v>1</v>
      </c>
      <c r="L18" s="20">
        <v>5</v>
      </c>
      <c r="M18" s="20">
        <v>4</v>
      </c>
      <c r="O18" s="90">
        <v>7</v>
      </c>
      <c r="P18" s="91" t="s">
        <v>95</v>
      </c>
      <c r="Q18" s="20">
        <v>3</v>
      </c>
      <c r="R18" s="20">
        <v>2</v>
      </c>
      <c r="S18" s="20">
        <v>1</v>
      </c>
      <c r="T18" s="20">
        <v>5</v>
      </c>
      <c r="U18" s="20">
        <v>1</v>
      </c>
      <c r="V18" s="20">
        <v>1</v>
      </c>
      <c r="W18" s="20">
        <v>3</v>
      </c>
      <c r="X18" s="20">
        <v>2</v>
      </c>
      <c r="Y18" s="20">
        <v>3</v>
      </c>
      <c r="Z18" s="20">
        <v>1</v>
      </c>
      <c r="AB18" s="90">
        <v>7</v>
      </c>
      <c r="AC18" s="91" t="s">
        <v>95</v>
      </c>
      <c r="AD18" s="20">
        <v>1</v>
      </c>
      <c r="AE18" s="20">
        <v>5</v>
      </c>
      <c r="AF18" s="20">
        <v>5</v>
      </c>
      <c r="AG18" s="20">
        <v>4</v>
      </c>
      <c r="AH18" s="20">
        <v>4</v>
      </c>
      <c r="AI18" s="20">
        <v>3</v>
      </c>
      <c r="AJ18" s="20">
        <v>5</v>
      </c>
      <c r="AK18" s="20">
        <v>3</v>
      </c>
      <c r="AL18" s="20">
        <v>2</v>
      </c>
      <c r="AM18" s="20">
        <v>1</v>
      </c>
    </row>
    <row r="19" spans="2:39" ht="40.799999999999997" customHeight="1" thickBot="1" x14ac:dyDescent="0.35">
      <c r="B19" s="90">
        <v>8</v>
      </c>
      <c r="C19" s="91" t="s">
        <v>80</v>
      </c>
      <c r="D19" s="20">
        <v>5</v>
      </c>
      <c r="E19" s="20">
        <v>4</v>
      </c>
      <c r="F19" s="20">
        <v>3</v>
      </c>
      <c r="G19" s="20">
        <v>2</v>
      </c>
      <c r="H19" s="20">
        <v>5</v>
      </c>
      <c r="I19" s="20">
        <v>3</v>
      </c>
      <c r="J19" s="20">
        <v>1</v>
      </c>
      <c r="K19" s="20">
        <v>2</v>
      </c>
      <c r="L19" s="20">
        <v>4</v>
      </c>
      <c r="M19" s="20">
        <v>2</v>
      </c>
      <c r="O19" s="90">
        <v>8</v>
      </c>
      <c r="P19" s="91" t="s">
        <v>80</v>
      </c>
      <c r="Q19" s="20">
        <v>1</v>
      </c>
      <c r="R19" s="20">
        <v>1</v>
      </c>
      <c r="S19" s="20">
        <v>4</v>
      </c>
      <c r="T19" s="20">
        <v>2</v>
      </c>
      <c r="U19" s="20">
        <v>2</v>
      </c>
      <c r="V19" s="20">
        <v>1</v>
      </c>
      <c r="W19" s="20">
        <v>1</v>
      </c>
      <c r="X19" s="20">
        <v>5</v>
      </c>
      <c r="Y19" s="20">
        <v>2</v>
      </c>
      <c r="Z19" s="20">
        <v>2</v>
      </c>
      <c r="AB19" s="90">
        <v>8</v>
      </c>
      <c r="AC19" s="91" t="s">
        <v>80</v>
      </c>
      <c r="AD19" s="20">
        <v>1</v>
      </c>
      <c r="AE19" s="20">
        <v>5</v>
      </c>
      <c r="AF19" s="20">
        <v>5</v>
      </c>
      <c r="AG19" s="20">
        <v>2</v>
      </c>
      <c r="AH19" s="20">
        <v>2</v>
      </c>
      <c r="AI19" s="20">
        <v>5</v>
      </c>
      <c r="AJ19" s="20">
        <v>3</v>
      </c>
      <c r="AK19" s="20">
        <v>1</v>
      </c>
      <c r="AL19" s="20">
        <v>1</v>
      </c>
      <c r="AM19" s="20">
        <v>2</v>
      </c>
    </row>
    <row r="20" spans="2:39" ht="40.799999999999997" customHeight="1" thickBot="1" x14ac:dyDescent="0.35">
      <c r="B20" s="90">
        <v>9</v>
      </c>
      <c r="C20" s="91" t="s">
        <v>81</v>
      </c>
      <c r="D20" s="20">
        <v>4</v>
      </c>
      <c r="E20" s="20">
        <v>5</v>
      </c>
      <c r="F20" s="20">
        <v>1</v>
      </c>
      <c r="G20" s="20">
        <v>3</v>
      </c>
      <c r="H20" s="20">
        <v>3</v>
      </c>
      <c r="I20" s="20">
        <v>5</v>
      </c>
      <c r="J20" s="20">
        <v>2</v>
      </c>
      <c r="K20" s="20">
        <v>5</v>
      </c>
      <c r="L20" s="20">
        <v>2</v>
      </c>
      <c r="M20" s="20">
        <v>3</v>
      </c>
      <c r="O20" s="90">
        <v>9</v>
      </c>
      <c r="P20" s="91" t="s">
        <v>81</v>
      </c>
      <c r="Q20" s="20">
        <v>4</v>
      </c>
      <c r="R20" s="20">
        <v>2</v>
      </c>
      <c r="S20" s="20">
        <v>2</v>
      </c>
      <c r="T20" s="20">
        <v>4</v>
      </c>
      <c r="U20" s="20">
        <v>3</v>
      </c>
      <c r="V20" s="20">
        <v>4</v>
      </c>
      <c r="W20" s="20">
        <v>4</v>
      </c>
      <c r="X20" s="20">
        <v>2</v>
      </c>
      <c r="Y20" s="20">
        <v>2</v>
      </c>
      <c r="Z20" s="20">
        <v>5</v>
      </c>
      <c r="AB20" s="90">
        <v>9</v>
      </c>
      <c r="AC20" s="91" t="s">
        <v>81</v>
      </c>
      <c r="AD20" s="20">
        <v>5</v>
      </c>
      <c r="AE20" s="20">
        <v>1</v>
      </c>
      <c r="AF20" s="20">
        <v>3</v>
      </c>
      <c r="AG20" s="20">
        <v>5</v>
      </c>
      <c r="AH20" s="20">
        <v>1</v>
      </c>
      <c r="AI20" s="20">
        <v>5</v>
      </c>
      <c r="AJ20" s="20">
        <v>3</v>
      </c>
      <c r="AK20" s="20">
        <v>5</v>
      </c>
      <c r="AL20" s="20">
        <v>3</v>
      </c>
      <c r="AM20" s="20">
        <v>4</v>
      </c>
    </row>
    <row r="21" spans="2:39" ht="40.799999999999997" customHeight="1" thickBot="1" x14ac:dyDescent="0.35">
      <c r="B21" s="90">
        <v>10</v>
      </c>
      <c r="C21" s="91" t="s">
        <v>82</v>
      </c>
      <c r="D21" s="20">
        <v>3</v>
      </c>
      <c r="E21" s="20">
        <v>2</v>
      </c>
      <c r="F21" s="20">
        <v>3</v>
      </c>
      <c r="G21" s="20">
        <v>2</v>
      </c>
      <c r="H21" s="20">
        <v>4</v>
      </c>
      <c r="I21" s="20">
        <v>1</v>
      </c>
      <c r="J21" s="20">
        <v>1</v>
      </c>
      <c r="K21" s="20">
        <v>3</v>
      </c>
      <c r="L21" s="20">
        <v>5</v>
      </c>
      <c r="M21" s="20">
        <v>1</v>
      </c>
      <c r="O21" s="90">
        <v>10</v>
      </c>
      <c r="P21" s="91" t="s">
        <v>82</v>
      </c>
      <c r="Q21" s="20">
        <v>2</v>
      </c>
      <c r="R21" s="20">
        <v>3</v>
      </c>
      <c r="S21" s="20">
        <v>2</v>
      </c>
      <c r="T21" s="20">
        <v>3</v>
      </c>
      <c r="U21" s="20">
        <v>4</v>
      </c>
      <c r="V21" s="20">
        <v>2</v>
      </c>
      <c r="W21" s="20">
        <v>5</v>
      </c>
      <c r="X21" s="20">
        <v>5</v>
      </c>
      <c r="Y21" s="20">
        <v>2</v>
      </c>
      <c r="Z21" s="20">
        <v>5</v>
      </c>
      <c r="AB21" s="90">
        <v>10</v>
      </c>
      <c r="AC21" s="91" t="s">
        <v>82</v>
      </c>
      <c r="AD21" s="20">
        <v>2</v>
      </c>
      <c r="AE21" s="20">
        <v>3</v>
      </c>
      <c r="AF21" s="20">
        <v>1</v>
      </c>
      <c r="AG21" s="20">
        <v>3</v>
      </c>
      <c r="AH21" s="20">
        <v>2</v>
      </c>
      <c r="AI21" s="20">
        <v>5</v>
      </c>
      <c r="AJ21" s="20">
        <v>1</v>
      </c>
      <c r="AK21" s="20">
        <v>5</v>
      </c>
      <c r="AL21" s="20">
        <v>1</v>
      </c>
      <c r="AM21" s="20">
        <v>5</v>
      </c>
    </row>
    <row r="22" spans="2:39" ht="40.799999999999997" customHeight="1" thickBot="1" x14ac:dyDescent="0.35">
      <c r="B22" s="90">
        <v>11</v>
      </c>
      <c r="C22" s="92" t="s">
        <v>84</v>
      </c>
      <c r="D22" s="20">
        <v>4</v>
      </c>
      <c r="E22" s="20">
        <v>3</v>
      </c>
      <c r="F22" s="20">
        <v>1</v>
      </c>
      <c r="G22" s="20">
        <v>5</v>
      </c>
      <c r="H22" s="20">
        <v>4</v>
      </c>
      <c r="I22" s="20">
        <v>3</v>
      </c>
      <c r="J22" s="20">
        <v>5</v>
      </c>
      <c r="K22" s="20">
        <v>4</v>
      </c>
      <c r="L22" s="20">
        <v>2</v>
      </c>
      <c r="M22" s="20">
        <v>1</v>
      </c>
      <c r="O22" s="90">
        <v>11</v>
      </c>
      <c r="P22" s="92" t="s">
        <v>84</v>
      </c>
      <c r="Q22" s="20">
        <v>3</v>
      </c>
      <c r="R22" s="20">
        <v>2</v>
      </c>
      <c r="S22" s="20">
        <v>2</v>
      </c>
      <c r="T22" s="20">
        <v>4</v>
      </c>
      <c r="U22" s="20">
        <v>2</v>
      </c>
      <c r="V22" s="20">
        <v>1</v>
      </c>
      <c r="W22" s="20">
        <v>1</v>
      </c>
      <c r="X22" s="20">
        <v>5</v>
      </c>
      <c r="Y22" s="20">
        <v>2</v>
      </c>
      <c r="Z22" s="20">
        <v>5</v>
      </c>
      <c r="AB22" s="90">
        <v>11</v>
      </c>
      <c r="AC22" s="92" t="s">
        <v>84</v>
      </c>
      <c r="AD22" s="20">
        <v>3</v>
      </c>
      <c r="AE22" s="20">
        <v>1</v>
      </c>
      <c r="AF22" s="20">
        <v>1</v>
      </c>
      <c r="AG22" s="20">
        <v>3</v>
      </c>
      <c r="AH22" s="20">
        <v>2</v>
      </c>
      <c r="AI22" s="20">
        <v>1</v>
      </c>
      <c r="AJ22" s="20">
        <v>5</v>
      </c>
      <c r="AK22" s="20">
        <v>1</v>
      </c>
      <c r="AL22" s="20">
        <v>4</v>
      </c>
      <c r="AM22" s="20">
        <v>5</v>
      </c>
    </row>
    <row r="23" spans="2:39" ht="40.799999999999997" customHeight="1" thickBot="1" x14ac:dyDescent="0.35">
      <c r="B23" s="90">
        <v>12</v>
      </c>
      <c r="C23" s="92" t="s">
        <v>86</v>
      </c>
      <c r="D23" s="20">
        <v>3</v>
      </c>
      <c r="E23" s="20">
        <v>5</v>
      </c>
      <c r="F23" s="20">
        <v>4</v>
      </c>
      <c r="G23" s="20">
        <v>1</v>
      </c>
      <c r="H23" s="20">
        <v>4</v>
      </c>
      <c r="I23" s="20">
        <v>2</v>
      </c>
      <c r="J23" s="20">
        <v>4</v>
      </c>
      <c r="K23" s="20">
        <v>1</v>
      </c>
      <c r="L23" s="20">
        <v>4</v>
      </c>
      <c r="M23" s="20">
        <v>1</v>
      </c>
      <c r="O23" s="90">
        <v>12</v>
      </c>
      <c r="P23" s="92" t="s">
        <v>86</v>
      </c>
      <c r="Q23" s="20">
        <v>5</v>
      </c>
      <c r="R23" s="20">
        <v>2</v>
      </c>
      <c r="S23" s="20">
        <v>4</v>
      </c>
      <c r="T23" s="20">
        <v>5</v>
      </c>
      <c r="U23" s="20">
        <v>5</v>
      </c>
      <c r="V23" s="20">
        <v>1</v>
      </c>
      <c r="W23" s="20">
        <v>4</v>
      </c>
      <c r="X23" s="20">
        <v>1</v>
      </c>
      <c r="Y23" s="20">
        <v>3</v>
      </c>
      <c r="Z23" s="20">
        <v>1</v>
      </c>
      <c r="AB23" s="90">
        <v>12</v>
      </c>
      <c r="AC23" s="92" t="s">
        <v>86</v>
      </c>
      <c r="AD23" s="20">
        <v>3</v>
      </c>
      <c r="AE23" s="20">
        <v>4</v>
      </c>
      <c r="AF23" s="20">
        <v>5</v>
      </c>
      <c r="AG23" s="20">
        <v>2</v>
      </c>
      <c r="AH23" s="20">
        <v>1</v>
      </c>
      <c r="AI23" s="20">
        <v>3</v>
      </c>
      <c r="AJ23" s="20">
        <v>2</v>
      </c>
      <c r="AK23" s="20">
        <v>5</v>
      </c>
      <c r="AL23" s="20">
        <v>4</v>
      </c>
      <c r="AM23" s="20">
        <v>4</v>
      </c>
    </row>
    <row r="24" spans="2:39" ht="40.799999999999997" customHeight="1" thickBot="1" x14ac:dyDescent="0.35">
      <c r="B24" s="90">
        <v>13</v>
      </c>
      <c r="C24" s="91" t="s">
        <v>87</v>
      </c>
      <c r="D24" s="20">
        <v>2</v>
      </c>
      <c r="E24" s="20">
        <v>3</v>
      </c>
      <c r="F24" s="20">
        <v>2</v>
      </c>
      <c r="G24" s="20">
        <v>3</v>
      </c>
      <c r="H24" s="20">
        <v>4</v>
      </c>
      <c r="I24" s="20">
        <v>2</v>
      </c>
      <c r="J24" s="20">
        <v>2</v>
      </c>
      <c r="K24" s="20">
        <v>1</v>
      </c>
      <c r="L24" s="20">
        <v>4</v>
      </c>
      <c r="M24" s="20">
        <v>3</v>
      </c>
      <c r="O24" s="90">
        <v>13</v>
      </c>
      <c r="P24" s="91" t="s">
        <v>87</v>
      </c>
      <c r="Q24" s="20">
        <v>1</v>
      </c>
      <c r="R24" s="20">
        <v>4</v>
      </c>
      <c r="S24" s="20">
        <v>2</v>
      </c>
      <c r="T24" s="20">
        <v>1</v>
      </c>
      <c r="U24" s="20">
        <v>2</v>
      </c>
      <c r="V24" s="20">
        <v>2</v>
      </c>
      <c r="W24" s="20">
        <v>3</v>
      </c>
      <c r="X24" s="20">
        <v>1</v>
      </c>
      <c r="Y24" s="20">
        <v>3</v>
      </c>
      <c r="Z24" s="20">
        <v>3</v>
      </c>
      <c r="AB24" s="90">
        <v>13</v>
      </c>
      <c r="AC24" s="91" t="s">
        <v>87</v>
      </c>
      <c r="AD24" s="20">
        <v>3</v>
      </c>
      <c r="AE24" s="20">
        <v>5</v>
      </c>
      <c r="AF24" s="20">
        <v>2</v>
      </c>
      <c r="AG24" s="20">
        <v>4</v>
      </c>
      <c r="AH24" s="20">
        <v>1</v>
      </c>
      <c r="AI24" s="20">
        <v>2</v>
      </c>
      <c r="AJ24" s="20">
        <v>1</v>
      </c>
      <c r="AK24" s="20">
        <v>4</v>
      </c>
      <c r="AL24" s="20">
        <v>1</v>
      </c>
      <c r="AM24" s="20">
        <v>1</v>
      </c>
    </row>
    <row r="25" spans="2:39" ht="40.799999999999997" customHeight="1" thickBot="1" x14ac:dyDescent="0.35">
      <c r="B25" s="90">
        <v>14</v>
      </c>
      <c r="C25" s="91" t="s">
        <v>88</v>
      </c>
      <c r="D25" s="20">
        <v>4</v>
      </c>
      <c r="E25" s="20">
        <v>3</v>
      </c>
      <c r="F25" s="20">
        <v>5</v>
      </c>
      <c r="G25" s="20">
        <v>3</v>
      </c>
      <c r="H25" s="20">
        <v>1</v>
      </c>
      <c r="I25" s="20">
        <v>1</v>
      </c>
      <c r="J25" s="20">
        <v>5</v>
      </c>
      <c r="K25" s="20">
        <v>1</v>
      </c>
      <c r="L25" s="20">
        <v>4</v>
      </c>
      <c r="M25" s="20">
        <v>2</v>
      </c>
      <c r="O25" s="90">
        <v>14</v>
      </c>
      <c r="P25" s="91" t="s">
        <v>88</v>
      </c>
      <c r="Q25" s="20">
        <v>3</v>
      </c>
      <c r="R25" s="20">
        <v>4</v>
      </c>
      <c r="S25" s="20">
        <v>2</v>
      </c>
      <c r="T25" s="20">
        <v>5</v>
      </c>
      <c r="U25" s="20">
        <v>4</v>
      </c>
      <c r="V25" s="20">
        <v>3</v>
      </c>
      <c r="W25" s="20">
        <v>1</v>
      </c>
      <c r="X25" s="20">
        <v>3</v>
      </c>
      <c r="Y25" s="20">
        <v>3</v>
      </c>
      <c r="Z25" s="20">
        <v>5</v>
      </c>
      <c r="AB25" s="90">
        <v>14</v>
      </c>
      <c r="AC25" s="91" t="s">
        <v>88</v>
      </c>
      <c r="AD25" s="20">
        <v>3</v>
      </c>
      <c r="AE25" s="20">
        <v>4</v>
      </c>
      <c r="AF25" s="20">
        <v>5</v>
      </c>
      <c r="AG25" s="20">
        <v>3</v>
      </c>
      <c r="AH25" s="20">
        <v>3</v>
      </c>
      <c r="AI25" s="20">
        <v>2</v>
      </c>
      <c r="AJ25" s="20">
        <v>2</v>
      </c>
      <c r="AK25" s="20">
        <v>2</v>
      </c>
      <c r="AL25" s="20">
        <v>2</v>
      </c>
      <c r="AM25" s="20">
        <v>1</v>
      </c>
    </row>
    <row r="26" spans="2:39" ht="40.799999999999997" customHeight="1" thickBot="1" x14ac:dyDescent="0.35">
      <c r="B26" s="90">
        <v>15</v>
      </c>
      <c r="C26" s="91" t="s">
        <v>89</v>
      </c>
      <c r="D26" s="20">
        <v>3</v>
      </c>
      <c r="E26" s="20">
        <v>1</v>
      </c>
      <c r="F26" s="20">
        <v>3</v>
      </c>
      <c r="G26" s="20">
        <v>4</v>
      </c>
      <c r="H26" s="20">
        <v>3</v>
      </c>
      <c r="I26" s="20">
        <v>2</v>
      </c>
      <c r="J26" s="20">
        <v>4</v>
      </c>
      <c r="K26" s="20">
        <v>2</v>
      </c>
      <c r="L26" s="20">
        <v>4</v>
      </c>
      <c r="M26" s="20">
        <v>2</v>
      </c>
      <c r="O26" s="90">
        <v>15</v>
      </c>
      <c r="P26" s="91" t="s">
        <v>89</v>
      </c>
      <c r="Q26" s="20">
        <v>3</v>
      </c>
      <c r="R26" s="20">
        <v>3</v>
      </c>
      <c r="S26" s="20">
        <v>3</v>
      </c>
      <c r="T26" s="20">
        <v>3</v>
      </c>
      <c r="U26" s="20">
        <v>3</v>
      </c>
      <c r="V26" s="20">
        <v>4</v>
      </c>
      <c r="W26" s="20">
        <v>2</v>
      </c>
      <c r="X26" s="20">
        <v>1</v>
      </c>
      <c r="Y26" s="20">
        <v>3</v>
      </c>
      <c r="Z26" s="20">
        <v>1</v>
      </c>
      <c r="AB26" s="90">
        <v>15</v>
      </c>
      <c r="AC26" s="91" t="s">
        <v>89</v>
      </c>
      <c r="AD26" s="20">
        <v>1</v>
      </c>
      <c r="AE26" s="20">
        <v>3</v>
      </c>
      <c r="AF26" s="20">
        <v>4</v>
      </c>
      <c r="AG26" s="20">
        <v>3</v>
      </c>
      <c r="AH26" s="20">
        <v>3</v>
      </c>
      <c r="AI26" s="20">
        <v>5</v>
      </c>
      <c r="AJ26" s="20">
        <v>3</v>
      </c>
      <c r="AK26" s="20">
        <v>3</v>
      </c>
      <c r="AL26" s="20">
        <v>4</v>
      </c>
      <c r="AM26" s="20">
        <v>2</v>
      </c>
    </row>
    <row r="27" spans="2:39" ht="40.799999999999997" customHeight="1" thickBot="1" x14ac:dyDescent="0.35">
      <c r="B27" s="90">
        <v>16</v>
      </c>
      <c r="C27" s="91" t="s">
        <v>90</v>
      </c>
      <c r="D27" s="20">
        <v>3</v>
      </c>
      <c r="E27" s="20">
        <v>1</v>
      </c>
      <c r="F27" s="20">
        <v>1</v>
      </c>
      <c r="G27" s="20">
        <v>5</v>
      </c>
      <c r="H27" s="20">
        <v>5</v>
      </c>
      <c r="I27" s="20">
        <v>3</v>
      </c>
      <c r="J27" s="20">
        <v>2</v>
      </c>
      <c r="K27" s="20">
        <v>3</v>
      </c>
      <c r="L27" s="20">
        <v>1</v>
      </c>
      <c r="M27" s="20">
        <v>5</v>
      </c>
      <c r="O27" s="90">
        <v>16</v>
      </c>
      <c r="P27" s="91" t="s">
        <v>90</v>
      </c>
      <c r="Q27" s="20">
        <v>3</v>
      </c>
      <c r="R27" s="20">
        <v>2</v>
      </c>
      <c r="S27" s="20">
        <v>2</v>
      </c>
      <c r="T27" s="20">
        <v>3</v>
      </c>
      <c r="U27" s="20">
        <v>3</v>
      </c>
      <c r="V27" s="20">
        <v>5</v>
      </c>
      <c r="W27" s="20">
        <v>2</v>
      </c>
      <c r="X27" s="20">
        <v>2</v>
      </c>
      <c r="Y27" s="20">
        <v>4</v>
      </c>
      <c r="Z27" s="20">
        <v>2</v>
      </c>
      <c r="AB27" s="90">
        <v>16</v>
      </c>
      <c r="AC27" s="91" t="s">
        <v>90</v>
      </c>
      <c r="AD27" s="20">
        <v>2</v>
      </c>
      <c r="AE27" s="20">
        <v>5</v>
      </c>
      <c r="AF27" s="20">
        <v>2</v>
      </c>
      <c r="AG27" s="20">
        <v>5</v>
      </c>
      <c r="AH27" s="20">
        <v>4</v>
      </c>
      <c r="AI27" s="20">
        <v>4</v>
      </c>
      <c r="AJ27" s="20">
        <v>5</v>
      </c>
      <c r="AK27" s="20">
        <v>2</v>
      </c>
      <c r="AL27" s="20">
        <v>1</v>
      </c>
      <c r="AM27" s="20">
        <v>4</v>
      </c>
    </row>
    <row r="28" spans="2:39" ht="40.799999999999997" customHeight="1" thickBot="1" x14ac:dyDescent="0.35">
      <c r="B28" s="110">
        <v>17</v>
      </c>
      <c r="C28" s="111" t="s">
        <v>91</v>
      </c>
      <c r="D28" s="112">
        <v>3</v>
      </c>
      <c r="E28" s="112">
        <v>2</v>
      </c>
      <c r="F28" s="112">
        <v>3</v>
      </c>
      <c r="G28" s="112">
        <v>3</v>
      </c>
      <c r="H28" s="112">
        <v>3</v>
      </c>
      <c r="I28" s="112">
        <v>1</v>
      </c>
      <c r="J28" s="112">
        <v>2</v>
      </c>
      <c r="K28" s="112">
        <v>2</v>
      </c>
      <c r="L28" s="112">
        <v>3</v>
      </c>
      <c r="M28" s="112">
        <v>4</v>
      </c>
      <c r="O28" s="90">
        <v>17</v>
      </c>
      <c r="P28" s="91" t="s">
        <v>91</v>
      </c>
      <c r="Q28" s="112">
        <v>3</v>
      </c>
      <c r="R28" s="112">
        <v>4</v>
      </c>
      <c r="S28" s="112">
        <v>1</v>
      </c>
      <c r="T28" s="112">
        <v>2</v>
      </c>
      <c r="U28" s="112">
        <v>3</v>
      </c>
      <c r="V28" s="112">
        <v>3</v>
      </c>
      <c r="W28" s="112">
        <v>3</v>
      </c>
      <c r="X28" s="112">
        <v>3</v>
      </c>
      <c r="Y28" s="112">
        <v>4</v>
      </c>
      <c r="Z28" s="112">
        <v>5</v>
      </c>
      <c r="AB28" s="90">
        <v>17</v>
      </c>
      <c r="AC28" s="91" t="s">
        <v>91</v>
      </c>
      <c r="AD28" s="112">
        <v>1</v>
      </c>
      <c r="AE28" s="112">
        <v>4</v>
      </c>
      <c r="AF28" s="112">
        <v>4</v>
      </c>
      <c r="AG28" s="112">
        <v>1</v>
      </c>
      <c r="AH28" s="112">
        <v>1</v>
      </c>
      <c r="AI28" s="112">
        <v>1</v>
      </c>
      <c r="AJ28" s="112">
        <v>1</v>
      </c>
      <c r="AK28" s="112">
        <v>4</v>
      </c>
      <c r="AL28" s="112">
        <v>2</v>
      </c>
      <c r="AM28" s="112">
        <v>2</v>
      </c>
    </row>
    <row r="29" spans="2:39" ht="15" thickBot="1" x14ac:dyDescent="0.35">
      <c r="B29" s="115" t="s">
        <v>12</v>
      </c>
      <c r="C29" s="116"/>
      <c r="D29" s="120">
        <f>SUM(D12:D28)</f>
        <v>54</v>
      </c>
      <c r="E29" s="121">
        <f t="shared" ref="E29" si="0">SUM(E12:E28)</f>
        <v>50</v>
      </c>
      <c r="F29" s="121">
        <f t="shared" ref="F29" si="1">SUM(F12:F28)</f>
        <v>45</v>
      </c>
      <c r="G29" s="121">
        <f t="shared" ref="G29" si="2">SUM(G12:G28)</f>
        <v>51</v>
      </c>
      <c r="H29" s="121">
        <f t="shared" ref="H29" si="3">SUM(H12:H28)</f>
        <v>62</v>
      </c>
      <c r="I29" s="121">
        <f t="shared" ref="I29" si="4">SUM(I12:I28)</f>
        <v>50</v>
      </c>
      <c r="J29" s="121">
        <f t="shared" ref="J29" si="5">SUM(J12:J28)</f>
        <v>49</v>
      </c>
      <c r="K29" s="121">
        <f t="shared" ref="K29" si="6">SUM(K12:K28)</f>
        <v>36</v>
      </c>
      <c r="L29" s="121">
        <f t="shared" ref="L29" si="7">SUM(L12:L28)</f>
        <v>59</v>
      </c>
      <c r="M29" s="122">
        <f t="shared" ref="M29" si="8">SUM(M12:M28)</f>
        <v>41</v>
      </c>
      <c r="O29" s="152" t="s">
        <v>12</v>
      </c>
      <c r="P29" s="153"/>
      <c r="Q29" s="126">
        <f>SUM(Q12:Q28)</f>
        <v>47</v>
      </c>
      <c r="R29" s="127">
        <f t="shared" ref="R29" si="9">SUM(R12:R28)</f>
        <v>51</v>
      </c>
      <c r="S29" s="127">
        <f t="shared" ref="S29" si="10">SUM(S12:S28)</f>
        <v>46</v>
      </c>
      <c r="T29" s="127">
        <f t="shared" ref="T29" si="11">SUM(T12:T28)</f>
        <v>52</v>
      </c>
      <c r="U29" s="127">
        <f t="shared" ref="U29" si="12">SUM(U12:U28)</f>
        <v>47</v>
      </c>
      <c r="V29" s="127">
        <f t="shared" ref="V29" si="13">SUM(V12:V28)</f>
        <v>49</v>
      </c>
      <c r="W29" s="127">
        <f t="shared" ref="W29" si="14">SUM(W12:W28)</f>
        <v>47</v>
      </c>
      <c r="X29" s="127">
        <f t="shared" ref="X29" si="15">SUM(X12:X28)</f>
        <v>45</v>
      </c>
      <c r="Y29" s="127">
        <f t="shared" ref="Y29" si="16">SUM(Y12:Y28)</f>
        <v>42</v>
      </c>
      <c r="Z29" s="128">
        <f t="shared" ref="Z29" si="17">SUM(Z12:Z28)</f>
        <v>50</v>
      </c>
      <c r="AB29" s="113" t="s">
        <v>12</v>
      </c>
      <c r="AC29" s="114"/>
      <c r="AD29" s="132">
        <f>SUM(AD12:AD28)</f>
        <v>40</v>
      </c>
      <c r="AE29" s="133">
        <f t="shared" ref="AE29" si="18">SUM(AE12:AE28)</f>
        <v>56</v>
      </c>
      <c r="AF29" s="133">
        <f t="shared" ref="AF29" si="19">SUM(AF12:AF28)</f>
        <v>57</v>
      </c>
      <c r="AG29" s="133">
        <f t="shared" ref="AG29" si="20">SUM(AG12:AG28)</f>
        <v>58</v>
      </c>
      <c r="AH29" s="133">
        <f t="shared" ref="AH29" si="21">SUM(AH12:AH28)</f>
        <v>40</v>
      </c>
      <c r="AI29" s="133">
        <f t="shared" ref="AI29" si="22">SUM(AI12:AI28)</f>
        <v>49</v>
      </c>
      <c r="AJ29" s="133">
        <f t="shared" ref="AJ29" si="23">SUM(AJ12:AJ28)</f>
        <v>47</v>
      </c>
      <c r="AK29" s="133">
        <f t="shared" ref="AK29" si="24">SUM(AK12:AK28)</f>
        <v>52</v>
      </c>
      <c r="AL29" s="133">
        <f t="shared" ref="AL29" si="25">SUM(AL12:AL28)</f>
        <v>40</v>
      </c>
      <c r="AM29" s="134">
        <f t="shared" ref="AM29" si="26">SUM(AM12:AM28)</f>
        <v>50</v>
      </c>
    </row>
    <row r="30" spans="2:39" ht="15" thickBot="1" x14ac:dyDescent="0.35">
      <c r="B30" s="115" t="s">
        <v>13</v>
      </c>
      <c r="C30" s="116"/>
      <c r="D30" s="117">
        <f>AVERAGE(D12:D28)</f>
        <v>3.1764705882352939</v>
      </c>
      <c r="E30" s="118">
        <f t="shared" ref="E30:M30" si="27">AVERAGE(E12:E28)</f>
        <v>2.9411764705882355</v>
      </c>
      <c r="F30" s="118">
        <f t="shared" si="27"/>
        <v>2.6470588235294117</v>
      </c>
      <c r="G30" s="118">
        <f t="shared" si="27"/>
        <v>3</v>
      </c>
      <c r="H30" s="118">
        <f t="shared" si="27"/>
        <v>3.6470588235294117</v>
      </c>
      <c r="I30" s="118">
        <f t="shared" si="27"/>
        <v>2.9411764705882355</v>
      </c>
      <c r="J30" s="118">
        <f t="shared" si="27"/>
        <v>2.8823529411764706</v>
      </c>
      <c r="K30" s="118">
        <f t="shared" si="27"/>
        <v>2.1176470588235294</v>
      </c>
      <c r="L30" s="118">
        <f t="shared" si="27"/>
        <v>3.4705882352941178</v>
      </c>
      <c r="M30" s="119">
        <f t="shared" si="27"/>
        <v>2.4117647058823528</v>
      </c>
      <c r="O30" s="152" t="s">
        <v>13</v>
      </c>
      <c r="P30" s="153"/>
      <c r="Q30" s="123">
        <f>AVERAGE(Q12:Q28)</f>
        <v>2.7647058823529411</v>
      </c>
      <c r="R30" s="124">
        <f t="shared" ref="R30:Z30" si="28">AVERAGE(R12:R28)</f>
        <v>3</v>
      </c>
      <c r="S30" s="124">
        <f t="shared" si="28"/>
        <v>2.7058823529411766</v>
      </c>
      <c r="T30" s="124">
        <f t="shared" si="28"/>
        <v>3.0588235294117645</v>
      </c>
      <c r="U30" s="124">
        <f t="shared" si="28"/>
        <v>2.7647058823529411</v>
      </c>
      <c r="V30" s="124">
        <f t="shared" si="28"/>
        <v>2.8823529411764706</v>
      </c>
      <c r="W30" s="124">
        <f t="shared" si="28"/>
        <v>2.7647058823529411</v>
      </c>
      <c r="X30" s="124">
        <f t="shared" si="28"/>
        <v>2.6470588235294117</v>
      </c>
      <c r="Y30" s="124">
        <f t="shared" si="28"/>
        <v>2.4705882352941178</v>
      </c>
      <c r="Z30" s="125">
        <f t="shared" si="28"/>
        <v>2.9411764705882355</v>
      </c>
      <c r="AB30" s="113" t="s">
        <v>13</v>
      </c>
      <c r="AC30" s="114"/>
      <c r="AD30" s="129">
        <f>AVERAGE(AD12:AD28)</f>
        <v>2.3529411764705883</v>
      </c>
      <c r="AE30" s="130">
        <f t="shared" ref="AE30:AM30" si="29">AVERAGE(AE12:AE28)</f>
        <v>3.2941176470588234</v>
      </c>
      <c r="AF30" s="130">
        <f t="shared" si="29"/>
        <v>3.3529411764705883</v>
      </c>
      <c r="AG30" s="130">
        <f t="shared" si="29"/>
        <v>3.4117647058823528</v>
      </c>
      <c r="AH30" s="130">
        <f t="shared" si="29"/>
        <v>2.3529411764705883</v>
      </c>
      <c r="AI30" s="130">
        <f t="shared" si="29"/>
        <v>2.8823529411764706</v>
      </c>
      <c r="AJ30" s="130">
        <f t="shared" si="29"/>
        <v>2.7647058823529411</v>
      </c>
      <c r="AK30" s="130">
        <f t="shared" si="29"/>
        <v>3.0588235294117645</v>
      </c>
      <c r="AL30" s="130">
        <f t="shared" si="29"/>
        <v>2.3529411764705883</v>
      </c>
      <c r="AM30" s="131">
        <f t="shared" si="29"/>
        <v>2.9411764705882355</v>
      </c>
    </row>
  </sheetData>
  <mergeCells count="18">
    <mergeCell ref="B30:C30"/>
    <mergeCell ref="O29:P29"/>
    <mergeCell ref="O30:P30"/>
    <mergeCell ref="AB29:AC29"/>
    <mergeCell ref="AB30:AC30"/>
    <mergeCell ref="AB9:AE9"/>
    <mergeCell ref="AB10:AB11"/>
    <mergeCell ref="AC10:AC11"/>
    <mergeCell ref="AD10:AM10"/>
    <mergeCell ref="B29:C29"/>
    <mergeCell ref="D10:M10"/>
    <mergeCell ref="B10:B11"/>
    <mergeCell ref="C10:C11"/>
    <mergeCell ref="B9:E9"/>
    <mergeCell ref="O9:R9"/>
    <mergeCell ref="O10:O11"/>
    <mergeCell ref="P10:P11"/>
    <mergeCell ref="Q10:Z10"/>
  </mergeCells>
  <conditionalFormatting sqref="O3:P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92D6-0024-4780-971F-5CD94E8BDA7A}">
  <dimension ref="B1:V30"/>
  <sheetViews>
    <sheetView topLeftCell="D1" zoomScaleNormal="100" workbookViewId="0">
      <selection activeCell="O1" sqref="M1:O1"/>
    </sheetView>
  </sheetViews>
  <sheetFormatPr defaultRowHeight="14.4" x14ac:dyDescent="0.3"/>
  <cols>
    <col min="1" max="1" width="8.88671875" style="9"/>
    <col min="2" max="2" width="13.88671875" style="9" customWidth="1"/>
    <col min="3" max="3" width="4" style="9" customWidth="1"/>
    <col min="4" max="5" width="13.109375" style="9" customWidth="1"/>
    <col min="6" max="6" width="16.88671875" style="9" customWidth="1"/>
    <col min="7" max="7" width="15.6640625" style="9" customWidth="1"/>
    <col min="8" max="8" width="15" style="9" customWidth="1"/>
    <col min="9" max="9" width="14.5546875" style="9" customWidth="1"/>
    <col min="10" max="10" width="13" style="9" customWidth="1"/>
    <col min="11" max="11" width="12.21875" style="9" customWidth="1"/>
    <col min="12" max="12" width="20.33203125" style="9" customWidth="1"/>
    <col min="13" max="17" width="11.6640625" style="9" customWidth="1"/>
    <col min="18" max="18" width="9.77734375" style="9" customWidth="1"/>
    <col min="19" max="19" width="14.88671875" style="9" customWidth="1"/>
    <col min="20" max="20" width="16.21875" style="9" customWidth="1"/>
    <col min="21" max="21" width="7.109375" style="9" customWidth="1"/>
    <col min="22" max="22" width="18.21875" style="9" customWidth="1"/>
    <col min="23" max="16384" width="8.88671875" style="9"/>
  </cols>
  <sheetData>
    <row r="1" spans="2:22" ht="20.399999999999999" customHeight="1" x14ac:dyDescent="0.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 t="s">
        <v>145</v>
      </c>
      <c r="P1" s="17"/>
      <c r="Q1" s="17"/>
      <c r="R1" s="17"/>
      <c r="S1" s="17"/>
      <c r="T1" s="17"/>
      <c r="U1" s="17"/>
      <c r="V1" s="18"/>
    </row>
    <row r="2" spans="2:22" ht="15" customHeight="1" x14ac:dyDescent="0.3">
      <c r="B2" s="26"/>
      <c r="C2" s="26"/>
      <c r="F2" s="23" t="s">
        <v>55</v>
      </c>
      <c r="L2" s="23" t="s">
        <v>59</v>
      </c>
    </row>
    <row r="3" spans="2:22" ht="37.799999999999997" customHeight="1" x14ac:dyDescent="0.3">
      <c r="B3" s="15" t="s">
        <v>27</v>
      </c>
      <c r="C3" s="15" t="s">
        <v>63</v>
      </c>
      <c r="D3" s="27" t="s">
        <v>49</v>
      </c>
      <c r="F3" s="14" t="s">
        <v>34</v>
      </c>
      <c r="G3" s="14" t="s">
        <v>35</v>
      </c>
      <c r="H3" s="14" t="s">
        <v>36</v>
      </c>
      <c r="I3" s="14" t="s">
        <v>37</v>
      </c>
      <c r="J3" s="19" t="s">
        <v>38</v>
      </c>
      <c r="L3" s="16"/>
      <c r="M3" s="14" t="s">
        <v>49</v>
      </c>
      <c r="N3" s="14" t="s">
        <v>50</v>
      </c>
      <c r="O3" s="14" t="s">
        <v>51</v>
      </c>
      <c r="P3" s="14" t="s">
        <v>52</v>
      </c>
      <c r="Q3" s="14" t="s">
        <v>53</v>
      </c>
    </row>
    <row r="4" spans="2:22" ht="31.2" customHeight="1" x14ac:dyDescent="0.3">
      <c r="B4" s="15" t="s">
        <v>28</v>
      </c>
      <c r="C4" s="15" t="s">
        <v>63</v>
      </c>
      <c r="D4" s="27" t="s">
        <v>50</v>
      </c>
      <c r="F4" s="14" t="s">
        <v>39</v>
      </c>
      <c r="G4" s="21">
        <v>3</v>
      </c>
      <c r="H4" s="21">
        <v>0.25</v>
      </c>
      <c r="I4" s="21">
        <v>1</v>
      </c>
      <c r="J4" s="29">
        <v>0.90859999999999996</v>
      </c>
      <c r="L4" s="14" t="s">
        <v>49</v>
      </c>
      <c r="M4" s="22">
        <v>1</v>
      </c>
      <c r="N4" s="22">
        <v>0.90859999999999996</v>
      </c>
      <c r="O4" s="22">
        <v>2.2894000000000001</v>
      </c>
      <c r="P4" s="22">
        <v>1.5873999999999999</v>
      </c>
      <c r="Q4" s="22">
        <v>1.4421999999999999</v>
      </c>
    </row>
    <row r="5" spans="2:22" ht="31.2" customHeight="1" x14ac:dyDescent="0.3">
      <c r="B5" s="15" t="s">
        <v>30</v>
      </c>
      <c r="C5" s="15" t="s">
        <v>63</v>
      </c>
      <c r="D5" s="27" t="s">
        <v>51</v>
      </c>
      <c r="F5" s="14" t="s">
        <v>40</v>
      </c>
      <c r="G5" s="21">
        <v>2</v>
      </c>
      <c r="H5" s="21">
        <v>3</v>
      </c>
      <c r="I5" s="21">
        <v>2</v>
      </c>
      <c r="J5" s="29">
        <v>2.2894000000000001</v>
      </c>
      <c r="L5" s="14" t="s">
        <v>50</v>
      </c>
      <c r="M5" s="22">
        <v>1.1006</v>
      </c>
      <c r="N5" s="22">
        <v>1</v>
      </c>
      <c r="O5" s="22">
        <v>2.2894000000000001</v>
      </c>
      <c r="P5" s="22">
        <v>1.2599</v>
      </c>
      <c r="Q5" s="22">
        <v>2.8845000000000001</v>
      </c>
    </row>
    <row r="6" spans="2:22" ht="31.2" customHeight="1" x14ac:dyDescent="0.3">
      <c r="B6" s="15" t="s">
        <v>29</v>
      </c>
      <c r="C6" s="15" t="s">
        <v>63</v>
      </c>
      <c r="D6" s="27" t="s">
        <v>52</v>
      </c>
      <c r="F6" s="14" t="s">
        <v>41</v>
      </c>
      <c r="G6" s="21">
        <v>2</v>
      </c>
      <c r="H6" s="21">
        <v>2</v>
      </c>
      <c r="I6" s="21">
        <v>1</v>
      </c>
      <c r="J6" s="29">
        <v>1.5873999999999999</v>
      </c>
      <c r="L6" s="14" t="s">
        <v>51</v>
      </c>
      <c r="M6" s="22">
        <v>0.43680000000000002</v>
      </c>
      <c r="N6" s="22">
        <v>0.43680000000000002</v>
      </c>
      <c r="O6" s="22">
        <v>1</v>
      </c>
      <c r="P6" s="22">
        <v>0.5</v>
      </c>
      <c r="Q6" s="22">
        <v>0.63</v>
      </c>
    </row>
    <row r="7" spans="2:22" ht="31.2" customHeight="1" x14ac:dyDescent="0.3">
      <c r="B7" s="15" t="s">
        <v>31</v>
      </c>
      <c r="C7" s="15" t="s">
        <v>63</v>
      </c>
      <c r="D7" s="27" t="s">
        <v>53</v>
      </c>
      <c r="F7" s="14" t="s">
        <v>42</v>
      </c>
      <c r="G7" s="21">
        <v>1</v>
      </c>
      <c r="H7" s="21">
        <v>1</v>
      </c>
      <c r="I7" s="21">
        <v>3</v>
      </c>
      <c r="J7" s="29">
        <v>1.4421999999999999</v>
      </c>
      <c r="L7" s="14" t="s">
        <v>52</v>
      </c>
      <c r="M7" s="22">
        <v>0.63</v>
      </c>
      <c r="N7" s="22">
        <v>0.79369999999999996</v>
      </c>
      <c r="O7" s="22">
        <v>2</v>
      </c>
      <c r="P7" s="22">
        <v>1</v>
      </c>
      <c r="Q7" s="22">
        <v>1.5873999999999999</v>
      </c>
    </row>
    <row r="8" spans="2:22" ht="31.2" customHeight="1" x14ac:dyDescent="0.3">
      <c r="F8" s="14" t="s">
        <v>43</v>
      </c>
      <c r="G8" s="21">
        <v>3</v>
      </c>
      <c r="H8" s="21">
        <v>2</v>
      </c>
      <c r="I8" s="21">
        <v>2</v>
      </c>
      <c r="J8" s="29">
        <v>2.2894000000000001</v>
      </c>
      <c r="L8" s="28" t="s">
        <v>53</v>
      </c>
      <c r="M8" s="30">
        <v>0.69340000000000002</v>
      </c>
      <c r="N8" s="30">
        <v>0.34670000000000001</v>
      </c>
      <c r="O8" s="30">
        <v>1.5873999999999999</v>
      </c>
      <c r="P8" s="30">
        <v>0.63</v>
      </c>
      <c r="Q8" s="30">
        <v>1</v>
      </c>
    </row>
    <row r="9" spans="2:22" ht="31.2" customHeight="1" x14ac:dyDescent="0.3">
      <c r="F9" s="14" t="s">
        <v>44</v>
      </c>
      <c r="G9" s="21">
        <v>1</v>
      </c>
      <c r="H9" s="21">
        <v>2</v>
      </c>
      <c r="I9" s="21">
        <v>1</v>
      </c>
      <c r="J9" s="29">
        <v>1.2599</v>
      </c>
      <c r="L9" s="14" t="s">
        <v>54</v>
      </c>
      <c r="M9" s="29">
        <v>3.8607999999999998</v>
      </c>
      <c r="N9" s="29">
        <v>3.4857</v>
      </c>
      <c r="O9" s="29">
        <v>9.1662999999999997</v>
      </c>
      <c r="P9" s="29">
        <v>4.9772999999999996</v>
      </c>
      <c r="Q9" s="29">
        <v>7.5441000000000003</v>
      </c>
    </row>
    <row r="10" spans="2:22" ht="31.2" customHeight="1" x14ac:dyDescent="0.3">
      <c r="F10" s="14" t="s">
        <v>45</v>
      </c>
      <c r="G10" s="21">
        <v>2</v>
      </c>
      <c r="H10" s="21">
        <v>3</v>
      </c>
      <c r="I10" s="21">
        <v>4</v>
      </c>
      <c r="J10" s="29">
        <v>2.8845000000000001</v>
      </c>
    </row>
    <row r="11" spans="2:22" ht="31.2" customHeight="1" x14ac:dyDescent="0.3">
      <c r="F11" s="14" t="s">
        <v>46</v>
      </c>
      <c r="G11" s="21">
        <v>0.5</v>
      </c>
      <c r="H11" s="21">
        <v>0.5</v>
      </c>
      <c r="I11" s="21">
        <v>0.5</v>
      </c>
      <c r="J11" s="29">
        <v>0.5</v>
      </c>
      <c r="L11" s="24" t="s">
        <v>60</v>
      </c>
    </row>
    <row r="12" spans="2:22" ht="31.2" customHeight="1" x14ac:dyDescent="0.3">
      <c r="F12" s="14" t="s">
        <v>47</v>
      </c>
      <c r="G12" s="21">
        <v>1</v>
      </c>
      <c r="H12" s="21">
        <v>0.5</v>
      </c>
      <c r="I12" s="21">
        <v>0.5</v>
      </c>
      <c r="J12" s="29">
        <v>0.63</v>
      </c>
      <c r="L12" s="13"/>
      <c r="M12" s="12" t="s">
        <v>49</v>
      </c>
      <c r="N12" s="12" t="s">
        <v>50</v>
      </c>
      <c r="O12" s="12" t="s">
        <v>51</v>
      </c>
      <c r="P12" s="12" t="s">
        <v>52</v>
      </c>
      <c r="Q12" s="12" t="s">
        <v>53</v>
      </c>
      <c r="R12" s="12" t="s">
        <v>56</v>
      </c>
      <c r="S12" s="12" t="s">
        <v>58</v>
      </c>
    </row>
    <row r="13" spans="2:22" ht="31.2" customHeight="1" x14ac:dyDescent="0.3">
      <c r="F13" s="14" t="s">
        <v>48</v>
      </c>
      <c r="G13" s="21">
        <v>2</v>
      </c>
      <c r="H13" s="21">
        <v>2</v>
      </c>
      <c r="I13" s="21">
        <v>1</v>
      </c>
      <c r="J13" s="29">
        <v>1.5873999999999999</v>
      </c>
      <c r="L13" s="12" t="s">
        <v>49</v>
      </c>
      <c r="M13" s="31">
        <v>0.25900000000000001</v>
      </c>
      <c r="N13" s="31">
        <v>0.26069999999999999</v>
      </c>
      <c r="O13" s="31">
        <v>0.24979999999999999</v>
      </c>
      <c r="P13" s="31">
        <v>0.31890000000000002</v>
      </c>
      <c r="Q13" s="31">
        <v>0.19120000000000001</v>
      </c>
      <c r="R13" s="32">
        <v>1.2795000000000001</v>
      </c>
      <c r="S13" s="32">
        <v>0.25590000000000002</v>
      </c>
    </row>
    <row r="14" spans="2:22" ht="28.8" customHeight="1" x14ac:dyDescent="0.3">
      <c r="L14" s="12" t="s">
        <v>50</v>
      </c>
      <c r="M14" s="31">
        <v>0.28510000000000002</v>
      </c>
      <c r="N14" s="31">
        <v>0.28689999999999999</v>
      </c>
      <c r="O14" s="31">
        <v>0.24979999999999999</v>
      </c>
      <c r="P14" s="31">
        <v>0.25309999999999999</v>
      </c>
      <c r="Q14" s="31">
        <v>0.38240000000000002</v>
      </c>
      <c r="R14" s="32">
        <v>1.4572000000000001</v>
      </c>
      <c r="S14" s="32">
        <v>0.29139999999999999</v>
      </c>
    </row>
    <row r="15" spans="2:22" ht="28.8" customHeight="1" x14ac:dyDescent="0.3">
      <c r="L15" s="12" t="s">
        <v>51</v>
      </c>
      <c r="M15" s="31">
        <v>0.11310000000000001</v>
      </c>
      <c r="N15" s="31">
        <v>0.12529999999999999</v>
      </c>
      <c r="O15" s="31">
        <v>0.1091</v>
      </c>
      <c r="P15" s="31">
        <v>0.10050000000000001</v>
      </c>
      <c r="Q15" s="31">
        <v>8.3500000000000005E-2</v>
      </c>
      <c r="R15" s="32">
        <v>0.53149999999999997</v>
      </c>
      <c r="S15" s="32">
        <v>0.10630000000000001</v>
      </c>
    </row>
    <row r="16" spans="2:22" ht="28.8" customHeight="1" x14ac:dyDescent="0.3">
      <c r="L16" s="12" t="s">
        <v>52</v>
      </c>
      <c r="M16" s="31">
        <v>0.16320000000000001</v>
      </c>
      <c r="N16" s="31">
        <v>0.22770000000000001</v>
      </c>
      <c r="O16" s="31">
        <v>0.21820000000000001</v>
      </c>
      <c r="P16" s="31">
        <v>0.2009</v>
      </c>
      <c r="Q16" s="31">
        <v>0.2104</v>
      </c>
      <c r="R16" s="32">
        <v>1.0204</v>
      </c>
      <c r="S16" s="32">
        <v>0.2041</v>
      </c>
    </row>
    <row r="17" spans="10:20" ht="28.8" customHeight="1" x14ac:dyDescent="0.3">
      <c r="L17" s="12" t="s">
        <v>53</v>
      </c>
      <c r="M17" s="31">
        <v>0.17960000000000001</v>
      </c>
      <c r="N17" s="31" t="s">
        <v>57</v>
      </c>
      <c r="O17" s="31">
        <v>0.17319999999999999</v>
      </c>
      <c r="P17" s="31">
        <v>0.12659999999999999</v>
      </c>
      <c r="Q17" s="31">
        <v>0.1326</v>
      </c>
      <c r="R17" s="32">
        <v>0.71130000000000004</v>
      </c>
      <c r="S17" s="32">
        <v>0.14230000000000001</v>
      </c>
    </row>
    <row r="18" spans="10:20" ht="28.8" customHeight="1" x14ac:dyDescent="0.3"/>
    <row r="19" spans="10:20" ht="28.8" customHeight="1" x14ac:dyDescent="0.3">
      <c r="L19" s="24" t="s">
        <v>64</v>
      </c>
    </row>
    <row r="20" spans="10:20" ht="61.2" customHeight="1" x14ac:dyDescent="0.3">
      <c r="J20" s="9" t="s">
        <v>144</v>
      </c>
      <c r="L20" s="13"/>
      <c r="M20" s="12" t="s">
        <v>49</v>
      </c>
      <c r="N20" s="12" t="s">
        <v>50</v>
      </c>
      <c r="O20" s="12" t="s">
        <v>51</v>
      </c>
      <c r="P20" s="12" t="s">
        <v>52</v>
      </c>
      <c r="Q20" s="12" t="s">
        <v>53</v>
      </c>
      <c r="R20" s="12" t="s">
        <v>65</v>
      </c>
      <c r="S20" s="12" t="s">
        <v>33</v>
      </c>
      <c r="T20" s="12" t="s">
        <v>66</v>
      </c>
    </row>
    <row r="21" spans="10:20" ht="28.8" customHeight="1" x14ac:dyDescent="0.3">
      <c r="L21" s="12" t="s">
        <v>49</v>
      </c>
      <c r="M21" s="31">
        <v>0.25600000000000001</v>
      </c>
      <c r="N21" s="31">
        <v>0.26569999999999999</v>
      </c>
      <c r="O21" s="31">
        <v>0.24979999999999999</v>
      </c>
      <c r="P21" s="31">
        <v>0.31890000000000002</v>
      </c>
      <c r="Q21" s="31">
        <v>0.19120000000000001</v>
      </c>
      <c r="R21" s="32">
        <v>1.2795000000000001</v>
      </c>
      <c r="S21" s="32">
        <v>0.25600000000000001</v>
      </c>
      <c r="T21" s="32">
        <v>5.0529999999999999</v>
      </c>
    </row>
    <row r="22" spans="10:20" ht="28.8" customHeight="1" x14ac:dyDescent="0.3">
      <c r="L22" s="12" t="s">
        <v>50</v>
      </c>
      <c r="M22" s="31">
        <v>0.28199999999999997</v>
      </c>
      <c r="N22" s="31">
        <v>0.28689999999999999</v>
      </c>
      <c r="O22" s="31">
        <v>0.24979999999999999</v>
      </c>
      <c r="P22" s="31">
        <v>0.25309999999999999</v>
      </c>
      <c r="Q22" s="31">
        <v>0.38240000000000002</v>
      </c>
      <c r="R22" s="32">
        <v>1.4572000000000001</v>
      </c>
      <c r="S22" s="32">
        <v>0.29099999999999998</v>
      </c>
      <c r="T22" s="32">
        <v>5.0919999999999996</v>
      </c>
    </row>
    <row r="23" spans="10:20" ht="28.8" customHeight="1" x14ac:dyDescent="0.3">
      <c r="L23" s="12" t="s">
        <v>51</v>
      </c>
      <c r="M23" s="31">
        <v>0.112</v>
      </c>
      <c r="N23" s="31">
        <v>0.12529999999999999</v>
      </c>
      <c r="O23" s="31">
        <v>0.1091</v>
      </c>
      <c r="P23" s="31">
        <v>0.10050000000000001</v>
      </c>
      <c r="Q23" s="31">
        <v>8.3500000000000005E-2</v>
      </c>
      <c r="R23" s="32">
        <v>0.53749999999999998</v>
      </c>
      <c r="S23" s="32">
        <v>0.106</v>
      </c>
      <c r="T23" s="32">
        <v>5.0519999999999996</v>
      </c>
    </row>
    <row r="24" spans="10:20" ht="28.8" customHeight="1" x14ac:dyDescent="0.3">
      <c r="L24" s="12" t="s">
        <v>52</v>
      </c>
      <c r="M24" s="31">
        <v>0.16120000000000001</v>
      </c>
      <c r="N24" s="31">
        <v>0.22770000000000001</v>
      </c>
      <c r="O24" s="31">
        <v>0.21820000000000001</v>
      </c>
      <c r="P24" s="31">
        <v>0.2009</v>
      </c>
      <c r="Q24" s="31">
        <v>0.2104</v>
      </c>
      <c r="R24" s="32">
        <v>1.0204</v>
      </c>
      <c r="S24" s="32">
        <v>0.20399999999999999</v>
      </c>
      <c r="T24" s="32">
        <v>5.0720000000000001</v>
      </c>
    </row>
    <row r="25" spans="10:20" ht="28.8" customHeight="1" x14ac:dyDescent="0.3">
      <c r="L25" s="12" t="s">
        <v>53</v>
      </c>
      <c r="M25" s="31">
        <v>0.17760000000000001</v>
      </c>
      <c r="N25" s="31">
        <v>9.9500000000000005E-2</v>
      </c>
      <c r="O25" s="31">
        <v>0.17319999999999999</v>
      </c>
      <c r="P25" s="31">
        <v>0.12659999999999999</v>
      </c>
      <c r="Q25" s="31">
        <v>0.1326</v>
      </c>
      <c r="R25" s="32">
        <v>0.71130000000000004</v>
      </c>
      <c r="S25" s="32">
        <v>0.14199999999999999</v>
      </c>
      <c r="T25" s="32">
        <v>5.0469999999999997</v>
      </c>
    </row>
    <row r="26" spans="10:20" ht="15.6" x14ac:dyDescent="0.3">
      <c r="L26" s="14" t="s">
        <v>67</v>
      </c>
      <c r="M26" s="47">
        <f>SUM(T21:T25)</f>
        <v>25.315999999999999</v>
      </c>
      <c r="N26" s="48"/>
      <c r="O26" s="48"/>
      <c r="P26" s="48"/>
      <c r="Q26" s="48"/>
      <c r="R26" s="48"/>
      <c r="S26" s="48"/>
      <c r="T26" s="48"/>
    </row>
    <row r="27" spans="10:20" ht="15.6" x14ac:dyDescent="0.3">
      <c r="L27" s="35" t="s">
        <v>68</v>
      </c>
      <c r="M27" s="47">
        <f>MAX(T21:T25)</f>
        <v>5.0919999999999996</v>
      </c>
      <c r="N27" s="48"/>
      <c r="O27" s="48"/>
      <c r="P27" s="48"/>
      <c r="Q27" s="48"/>
      <c r="R27" s="48"/>
      <c r="S27" s="48"/>
      <c r="T27" s="48"/>
    </row>
    <row r="28" spans="10:20" ht="15.6" x14ac:dyDescent="0.3">
      <c r="L28" s="34" t="s">
        <v>69</v>
      </c>
      <c r="M28" s="48">
        <v>1.6E-2</v>
      </c>
      <c r="N28" s="48"/>
      <c r="O28" s="48"/>
      <c r="P28" s="48"/>
      <c r="Q28" s="48"/>
      <c r="R28" s="48"/>
      <c r="S28" s="48"/>
      <c r="T28" s="48"/>
    </row>
    <row r="29" spans="10:20" ht="15.6" x14ac:dyDescent="0.3">
      <c r="L29" s="34" t="s">
        <v>70</v>
      </c>
      <c r="M29" s="49">
        <v>1.41</v>
      </c>
      <c r="N29" s="49"/>
      <c r="O29" s="49"/>
      <c r="P29" s="49"/>
      <c r="Q29" s="49"/>
      <c r="R29" s="49"/>
      <c r="S29" s="49"/>
      <c r="T29" s="49"/>
    </row>
    <row r="30" spans="10:20" ht="15.6" x14ac:dyDescent="0.3">
      <c r="L30" s="33"/>
    </row>
  </sheetData>
  <mergeCells count="4">
    <mergeCell ref="M27:T27"/>
    <mergeCell ref="M28:T28"/>
    <mergeCell ref="M29:T29"/>
    <mergeCell ref="M26:T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 NARSUM</vt:lpstr>
      <vt:lpstr>ALTERNATIF USULAN</vt:lpstr>
      <vt:lpstr>EXPERT JUDGMENT</vt:lpstr>
      <vt:lpstr>KRIT &amp; SUB-KRIT</vt:lpstr>
      <vt:lpstr>ATURAN !</vt:lpstr>
      <vt:lpstr>REKAP PEMBOBOTAN</vt:lpstr>
      <vt:lpstr>REKAP PENILAIAN PEMASOK</vt:lpstr>
      <vt:lpstr>FUZZY AHP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Helmi Hariyadhi</cp:lastModifiedBy>
  <cp:lastPrinted>2023-06-14T08:27:09Z</cp:lastPrinted>
  <dcterms:created xsi:type="dcterms:W3CDTF">2023-01-03T07:11:22Z</dcterms:created>
  <dcterms:modified xsi:type="dcterms:W3CDTF">2023-08-28T04:32:17Z</dcterms:modified>
</cp:coreProperties>
</file>